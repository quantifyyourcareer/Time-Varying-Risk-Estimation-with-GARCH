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iteeksha/Library/Mobile Documents/com~apple~CloudDocs/QuantifyYourCareer/Projects/TimeSeries/"/>
    </mc:Choice>
  </mc:AlternateContent>
  <xr:revisionPtr revIDLastSave="0" documentId="13_ncr:1_{253BAB8E-60A2-5746-BB69-B44352BE01B6}" xr6:coauthVersionLast="47" xr6:coauthVersionMax="47" xr10:uidLastSave="{00000000-0000-0000-0000-000000000000}"/>
  <bookViews>
    <workbookView xWindow="0" yWindow="660" windowWidth="29400" windowHeight="17180" tabRatio="500" xr2:uid="{00000000-000D-0000-FFFF-FFFF00000000}"/>
  </bookViews>
  <sheets>
    <sheet name="INDEX" sheetId="1" r:id="rId1"/>
    <sheet name="1.RETURNS" sheetId="2" r:id="rId2"/>
    <sheet name="2.STYLIZED FACTS" sheetId="3" r:id="rId3"/>
    <sheet name="3.STATIONARITY" sheetId="4" r:id="rId4"/>
    <sheet name="4.AUTOCORRELATION" sheetId="5" r:id="rId5"/>
    <sheet name="5.ARIMA" sheetId="6" r:id="rId6"/>
    <sheet name="6.GARCH MOTIVATION" sheetId="7" r:id="rId7"/>
  </sheets>
  <definedNames>
    <definedName name="_xlchart.v1.0" hidden="1">'1.RETURNS'!$A$5:$A$255</definedName>
    <definedName name="_xlchart.v1.1" hidden="1">'1.RETURNS'!$D$3:$D$4</definedName>
    <definedName name="_xlchart.v1.2" hidden="1">'1.RETURNS'!$D$5:$D$255</definedName>
    <definedName name="_xlchart.v1.3" hidden="1">'1.RETURNS'!$A$5:$A$255</definedName>
    <definedName name="_xlchart.v1.4" hidden="1">'1.RETURNS'!$D$3:$D$4</definedName>
    <definedName name="_xlchart.v1.5" hidden="1">'1.RETURNS'!$D$5:$D$255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4" i="7"/>
  <c r="L5" i="7" l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4" i="7"/>
  <c r="J5" i="7"/>
  <c r="G6" i="7"/>
  <c r="Q6" i="6"/>
  <c r="O6" i="6"/>
  <c r="P8" i="6"/>
  <c r="P7" i="6"/>
  <c r="M8" i="6"/>
  <c r="N11" i="6"/>
  <c r="M6" i="6"/>
  <c r="N6" i="6"/>
  <c r="M7" i="6"/>
  <c r="N10" i="6"/>
  <c r="M4" i="6"/>
  <c r="N5" i="6"/>
  <c r="M5" i="6"/>
  <c r="L7" i="6"/>
  <c r="K5" i="6"/>
  <c r="P5" i="6"/>
  <c r="N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5" i="7"/>
  <c r="G4" i="7"/>
  <c r="C5" i="7"/>
  <c r="C6" i="7"/>
  <c r="C7" i="7"/>
  <c r="C8" i="7"/>
  <c r="D24" i="7" s="1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4" i="7"/>
  <c r="G68" i="5"/>
  <c r="G7" i="4"/>
  <c r="G5" i="4"/>
  <c r="J14" i="2"/>
  <c r="J7" i="2"/>
  <c r="D7" i="2"/>
  <c r="D5" i="2"/>
  <c r="C7" i="2"/>
  <c r="C5" i="2"/>
  <c r="E5" i="2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W5" i="7"/>
  <c r="V5" i="7"/>
  <c r="B5" i="7"/>
  <c r="I4" i="7"/>
  <c r="I5" i="7" s="1"/>
  <c r="B4" i="7"/>
  <c r="G63" i="6"/>
  <c r="F63" i="6"/>
  <c r="B63" i="6"/>
  <c r="A63" i="6"/>
  <c r="G62" i="6"/>
  <c r="F62" i="6"/>
  <c r="B62" i="6"/>
  <c r="A62" i="6"/>
  <c r="G61" i="6"/>
  <c r="F61" i="6"/>
  <c r="B61" i="6"/>
  <c r="A61" i="6"/>
  <c r="G60" i="6"/>
  <c r="F60" i="6"/>
  <c r="B60" i="6"/>
  <c r="A60" i="6"/>
  <c r="G59" i="6"/>
  <c r="F59" i="6"/>
  <c r="B59" i="6"/>
  <c r="A59" i="6"/>
  <c r="G58" i="6"/>
  <c r="F58" i="6"/>
  <c r="B58" i="6"/>
  <c r="A58" i="6"/>
  <c r="G57" i="6"/>
  <c r="F57" i="6"/>
  <c r="B57" i="6"/>
  <c r="A57" i="6"/>
  <c r="G56" i="6"/>
  <c r="F56" i="6"/>
  <c r="B56" i="6"/>
  <c r="A56" i="6"/>
  <c r="G55" i="6"/>
  <c r="F55" i="6"/>
  <c r="B55" i="6"/>
  <c r="A55" i="6"/>
  <c r="G54" i="6"/>
  <c r="F54" i="6"/>
  <c r="B54" i="6"/>
  <c r="A54" i="6"/>
  <c r="G53" i="6"/>
  <c r="F53" i="6"/>
  <c r="B53" i="6"/>
  <c r="A53" i="6"/>
  <c r="G52" i="6"/>
  <c r="F52" i="6"/>
  <c r="B52" i="6"/>
  <c r="A52" i="6"/>
  <c r="G51" i="6"/>
  <c r="F51" i="6"/>
  <c r="B51" i="6"/>
  <c r="A51" i="6"/>
  <c r="G50" i="6"/>
  <c r="F50" i="6"/>
  <c r="B50" i="6"/>
  <c r="A50" i="6"/>
  <c r="G49" i="6"/>
  <c r="F49" i="6"/>
  <c r="B49" i="6"/>
  <c r="A49" i="6"/>
  <c r="G48" i="6"/>
  <c r="F48" i="6"/>
  <c r="B48" i="6"/>
  <c r="A48" i="6"/>
  <c r="G47" i="6"/>
  <c r="F47" i="6"/>
  <c r="B47" i="6"/>
  <c r="A47" i="6"/>
  <c r="G46" i="6"/>
  <c r="F46" i="6"/>
  <c r="B46" i="6"/>
  <c r="A46" i="6"/>
  <c r="G45" i="6"/>
  <c r="F45" i="6"/>
  <c r="B45" i="6"/>
  <c r="A45" i="6"/>
  <c r="G44" i="6"/>
  <c r="F44" i="6"/>
  <c r="B44" i="6"/>
  <c r="A44" i="6"/>
  <c r="G43" i="6"/>
  <c r="F43" i="6"/>
  <c r="B43" i="6"/>
  <c r="A43" i="6"/>
  <c r="G42" i="6"/>
  <c r="F42" i="6"/>
  <c r="B42" i="6"/>
  <c r="A42" i="6"/>
  <c r="G41" i="6"/>
  <c r="F41" i="6"/>
  <c r="B41" i="6"/>
  <c r="A41" i="6"/>
  <c r="G40" i="6"/>
  <c r="F40" i="6"/>
  <c r="B40" i="6"/>
  <c r="A40" i="6"/>
  <c r="G39" i="6"/>
  <c r="F39" i="6"/>
  <c r="B39" i="6"/>
  <c r="A39" i="6"/>
  <c r="G38" i="6"/>
  <c r="F38" i="6"/>
  <c r="B38" i="6"/>
  <c r="A38" i="6"/>
  <c r="G37" i="6"/>
  <c r="F37" i="6"/>
  <c r="B37" i="6"/>
  <c r="A37" i="6"/>
  <c r="G36" i="6"/>
  <c r="F36" i="6"/>
  <c r="B36" i="6"/>
  <c r="A36" i="6"/>
  <c r="G35" i="6"/>
  <c r="F35" i="6"/>
  <c r="B35" i="6"/>
  <c r="A35" i="6"/>
  <c r="G34" i="6"/>
  <c r="F34" i="6"/>
  <c r="B34" i="6"/>
  <c r="A34" i="6"/>
  <c r="G33" i="6"/>
  <c r="F33" i="6"/>
  <c r="B33" i="6"/>
  <c r="A33" i="6"/>
  <c r="G32" i="6"/>
  <c r="F32" i="6"/>
  <c r="B32" i="6"/>
  <c r="A32" i="6"/>
  <c r="G31" i="6"/>
  <c r="F31" i="6"/>
  <c r="B31" i="6"/>
  <c r="A31" i="6"/>
  <c r="G30" i="6"/>
  <c r="F30" i="6"/>
  <c r="B30" i="6"/>
  <c r="A30" i="6"/>
  <c r="G29" i="6"/>
  <c r="F29" i="6"/>
  <c r="B29" i="6"/>
  <c r="A29" i="6"/>
  <c r="G28" i="6"/>
  <c r="F28" i="6"/>
  <c r="B28" i="6"/>
  <c r="A28" i="6"/>
  <c r="G27" i="6"/>
  <c r="F27" i="6"/>
  <c r="B27" i="6"/>
  <c r="A27" i="6"/>
  <c r="G26" i="6"/>
  <c r="F26" i="6"/>
  <c r="B26" i="6"/>
  <c r="A26" i="6"/>
  <c r="G25" i="6"/>
  <c r="F25" i="6"/>
  <c r="B25" i="6"/>
  <c r="A25" i="6"/>
  <c r="G24" i="6"/>
  <c r="F24" i="6"/>
  <c r="B24" i="6"/>
  <c r="A24" i="6"/>
  <c r="G23" i="6"/>
  <c r="F23" i="6"/>
  <c r="B23" i="6"/>
  <c r="A23" i="6"/>
  <c r="G22" i="6"/>
  <c r="F22" i="6"/>
  <c r="B22" i="6"/>
  <c r="A22" i="6"/>
  <c r="G21" i="6"/>
  <c r="F21" i="6"/>
  <c r="B21" i="6"/>
  <c r="A21" i="6"/>
  <c r="G20" i="6"/>
  <c r="F20" i="6"/>
  <c r="B20" i="6"/>
  <c r="A20" i="6"/>
  <c r="G19" i="6"/>
  <c r="F19" i="6"/>
  <c r="B19" i="6"/>
  <c r="A19" i="6"/>
  <c r="G18" i="6"/>
  <c r="F18" i="6"/>
  <c r="B18" i="6"/>
  <c r="A18" i="6"/>
  <c r="G17" i="6"/>
  <c r="F17" i="6"/>
  <c r="B17" i="6"/>
  <c r="A17" i="6"/>
  <c r="G16" i="6"/>
  <c r="F16" i="6"/>
  <c r="B16" i="6"/>
  <c r="A16" i="6"/>
  <c r="G15" i="6"/>
  <c r="F15" i="6"/>
  <c r="B15" i="6"/>
  <c r="A15" i="6"/>
  <c r="G14" i="6"/>
  <c r="F14" i="6"/>
  <c r="B14" i="6"/>
  <c r="A14" i="6"/>
  <c r="G13" i="6"/>
  <c r="F13" i="6"/>
  <c r="B13" i="6"/>
  <c r="A13" i="6"/>
  <c r="G12" i="6"/>
  <c r="F12" i="6"/>
  <c r="B12" i="6"/>
  <c r="A12" i="6"/>
  <c r="G11" i="6"/>
  <c r="F11" i="6"/>
  <c r="B11" i="6"/>
  <c r="A11" i="6"/>
  <c r="G10" i="6"/>
  <c r="F10" i="6"/>
  <c r="B10" i="6"/>
  <c r="A10" i="6"/>
  <c r="G9" i="6"/>
  <c r="F9" i="6"/>
  <c r="B9" i="6"/>
  <c r="A9" i="6"/>
  <c r="G8" i="6"/>
  <c r="F8" i="6"/>
  <c r="B8" i="6"/>
  <c r="A8" i="6"/>
  <c r="G7" i="6"/>
  <c r="F7" i="6"/>
  <c r="B7" i="6"/>
  <c r="A7" i="6"/>
  <c r="G6" i="6"/>
  <c r="F6" i="6"/>
  <c r="B6" i="6"/>
  <c r="A6" i="6"/>
  <c r="G5" i="6"/>
  <c r="F5" i="6"/>
  <c r="B5" i="6"/>
  <c r="A5" i="6"/>
  <c r="G4" i="6"/>
  <c r="E4" i="6"/>
  <c r="C4" i="6"/>
  <c r="B4" i="6"/>
  <c r="C59" i="5"/>
  <c r="C43" i="5"/>
  <c r="C63" i="4"/>
  <c r="C62" i="4"/>
  <c r="C61" i="4"/>
  <c r="C60" i="4"/>
  <c r="C59" i="4"/>
  <c r="C58" i="4"/>
  <c r="C57" i="4"/>
  <c r="F56" i="4"/>
  <c r="C56" i="4"/>
  <c r="C55" i="4"/>
  <c r="C54" i="4"/>
  <c r="F53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F37" i="4"/>
  <c r="C37" i="4"/>
  <c r="C36" i="4"/>
  <c r="C35" i="4"/>
  <c r="C34" i="4"/>
  <c r="F33" i="4"/>
  <c r="C33" i="4"/>
  <c r="C32" i="4"/>
  <c r="C31" i="4"/>
  <c r="F30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F11" i="4"/>
  <c r="C11" i="4"/>
  <c r="C10" i="4"/>
  <c r="C9" i="4"/>
  <c r="C8" i="4"/>
  <c r="C7" i="4"/>
  <c r="C6" i="4"/>
  <c r="C5" i="4"/>
  <c r="C4" i="4"/>
  <c r="D4" i="4" s="1"/>
  <c r="D254" i="3"/>
  <c r="C254" i="3"/>
  <c r="C251" i="3"/>
  <c r="C250" i="3"/>
  <c r="C248" i="3"/>
  <c r="C244" i="3"/>
  <c r="C241" i="3"/>
  <c r="C238" i="3"/>
  <c r="C237" i="3"/>
  <c r="D234" i="3"/>
  <c r="C234" i="3"/>
  <c r="C231" i="3"/>
  <c r="C230" i="3"/>
  <c r="C228" i="3"/>
  <c r="D224" i="3"/>
  <c r="C224" i="3"/>
  <c r="D221" i="3"/>
  <c r="C221" i="3"/>
  <c r="C218" i="3"/>
  <c r="C217" i="3"/>
  <c r="C214" i="3"/>
  <c r="C211" i="3"/>
  <c r="C210" i="3"/>
  <c r="C208" i="3"/>
  <c r="C207" i="3"/>
  <c r="O208" i="3" s="1"/>
  <c r="C201" i="3"/>
  <c r="C200" i="3"/>
  <c r="C198" i="3"/>
  <c r="C191" i="3"/>
  <c r="C188" i="3"/>
  <c r="C187" i="3"/>
  <c r="C181" i="3"/>
  <c r="C180" i="3"/>
  <c r="C178" i="3"/>
  <c r="D174" i="3"/>
  <c r="C174" i="3"/>
  <c r="C168" i="3"/>
  <c r="E167" i="3"/>
  <c r="C167" i="3"/>
  <c r="C160" i="3"/>
  <c r="C158" i="3"/>
  <c r="C155" i="3"/>
  <c r="C152" i="3"/>
  <c r="D149" i="3"/>
  <c r="C149" i="3"/>
  <c r="C143" i="3"/>
  <c r="P142" i="3"/>
  <c r="C142" i="3"/>
  <c r="C138" i="3"/>
  <c r="C135" i="3"/>
  <c r="D132" i="3"/>
  <c r="C132" i="3"/>
  <c r="C125" i="3"/>
  <c r="C122" i="3"/>
  <c r="C120" i="3"/>
  <c r="C118" i="3"/>
  <c r="C117" i="3"/>
  <c r="O118" i="3" s="1"/>
  <c r="C115" i="3"/>
  <c r="C112" i="3"/>
  <c r="C102" i="3"/>
  <c r="P100" i="3"/>
  <c r="C100" i="3"/>
  <c r="C95" i="3"/>
  <c r="C92" i="3"/>
  <c r="C82" i="3"/>
  <c r="C74" i="3"/>
  <c r="C54" i="3"/>
  <c r="C43" i="3"/>
  <c r="P40" i="3"/>
  <c r="C40" i="3"/>
  <c r="O41" i="3" s="1"/>
  <c r="C33" i="3"/>
  <c r="D30" i="3"/>
  <c r="C30" i="3"/>
  <c r="O31" i="3" s="1"/>
  <c r="C25" i="3"/>
  <c r="P25" i="3" s="1"/>
  <c r="C20" i="3"/>
  <c r="C14" i="3"/>
  <c r="E4" i="3"/>
  <c r="D4" i="3"/>
  <c r="D255" i="2"/>
  <c r="C255" i="2"/>
  <c r="D254" i="2"/>
  <c r="C254" i="2"/>
  <c r="D253" i="2"/>
  <c r="C253" i="2"/>
  <c r="D252" i="2"/>
  <c r="C252" i="2"/>
  <c r="E252" i="2" s="1"/>
  <c r="D251" i="2"/>
  <c r="C251" i="2"/>
  <c r="E250" i="2"/>
  <c r="D250" i="2"/>
  <c r="C250" i="2"/>
  <c r="D249" i="2"/>
  <c r="C249" i="2"/>
  <c r="E248" i="2"/>
  <c r="D248" i="2"/>
  <c r="C248" i="2"/>
  <c r="D247" i="2"/>
  <c r="C247" i="2"/>
  <c r="D246" i="2"/>
  <c r="C246" i="2"/>
  <c r="E246" i="2" s="1"/>
  <c r="D245" i="2"/>
  <c r="C245" i="2"/>
  <c r="D244" i="2"/>
  <c r="C244" i="2"/>
  <c r="E243" i="2"/>
  <c r="D243" i="2"/>
  <c r="C243" i="2"/>
  <c r="D242" i="2"/>
  <c r="C242" i="2"/>
  <c r="E242" i="2" s="1"/>
  <c r="D241" i="2"/>
  <c r="C241" i="2"/>
  <c r="D240" i="2"/>
  <c r="C240" i="2"/>
  <c r="E240" i="2" s="1"/>
  <c r="D239" i="2"/>
  <c r="C239" i="2"/>
  <c r="E238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E233" i="2" s="1"/>
  <c r="E232" i="2"/>
  <c r="D232" i="2"/>
  <c r="C232" i="2"/>
  <c r="D231" i="2"/>
  <c r="C231" i="2"/>
  <c r="D230" i="2"/>
  <c r="C230" i="2"/>
  <c r="D229" i="2"/>
  <c r="C229" i="2"/>
  <c r="E228" i="2"/>
  <c r="D228" i="2"/>
  <c r="C228" i="2"/>
  <c r="D227" i="2"/>
  <c r="C227" i="3" s="1"/>
  <c r="C227" i="2"/>
  <c r="D226" i="2"/>
  <c r="C226" i="2"/>
  <c r="D225" i="2"/>
  <c r="C225" i="2"/>
  <c r="D224" i="2"/>
  <c r="C224" i="2"/>
  <c r="E223" i="2"/>
  <c r="D223" i="2"/>
  <c r="C223" i="2"/>
  <c r="E222" i="2"/>
  <c r="D222" i="2"/>
  <c r="C222" i="2"/>
  <c r="D221" i="2"/>
  <c r="C221" i="2"/>
  <c r="D220" i="2"/>
  <c r="C220" i="2"/>
  <c r="E220" i="2" s="1"/>
  <c r="E219" i="2"/>
  <c r="D219" i="2"/>
  <c r="C219" i="2"/>
  <c r="E218" i="2"/>
  <c r="D218" i="2"/>
  <c r="C218" i="2"/>
  <c r="D217" i="2"/>
  <c r="C217" i="2"/>
  <c r="D216" i="2"/>
  <c r="C216" i="2"/>
  <c r="D215" i="2"/>
  <c r="C215" i="2"/>
  <c r="D214" i="2"/>
  <c r="C214" i="2"/>
  <c r="E213" i="2"/>
  <c r="D213" i="2"/>
  <c r="C213" i="2"/>
  <c r="E212" i="2"/>
  <c r="D212" i="2"/>
  <c r="C212" i="2"/>
  <c r="D211" i="2"/>
  <c r="C211" i="2"/>
  <c r="D210" i="2"/>
  <c r="C210" i="2"/>
  <c r="E210" i="2" s="1"/>
  <c r="D209" i="2"/>
  <c r="C209" i="2"/>
  <c r="E208" i="2"/>
  <c r="D208" i="2"/>
  <c r="C208" i="2"/>
  <c r="D207" i="2"/>
  <c r="C207" i="2"/>
  <c r="D206" i="2"/>
  <c r="C206" i="2"/>
  <c r="D205" i="2"/>
  <c r="C205" i="2"/>
  <c r="D204" i="2"/>
  <c r="C204" i="2"/>
  <c r="D203" i="2"/>
  <c r="E203" i="2" s="1"/>
  <c r="C203" i="2"/>
  <c r="D202" i="2"/>
  <c r="C202" i="2"/>
  <c r="E202" i="2" s="1"/>
  <c r="D201" i="2"/>
  <c r="C201" i="2"/>
  <c r="E200" i="2"/>
  <c r="D200" i="2"/>
  <c r="C200" i="2"/>
  <c r="D199" i="2"/>
  <c r="C199" i="2"/>
  <c r="E198" i="2"/>
  <c r="D198" i="2"/>
  <c r="C198" i="2"/>
  <c r="D197" i="2"/>
  <c r="C197" i="2"/>
  <c r="D196" i="2"/>
  <c r="E196" i="2" s="1"/>
  <c r="C196" i="2"/>
  <c r="D195" i="2"/>
  <c r="C195" i="2"/>
  <c r="D194" i="2"/>
  <c r="C194" i="2"/>
  <c r="D193" i="2"/>
  <c r="C193" i="2"/>
  <c r="D192" i="2"/>
  <c r="C192" i="2"/>
  <c r="E192" i="2" s="1"/>
  <c r="D191" i="2"/>
  <c r="C191" i="2"/>
  <c r="D190" i="2"/>
  <c r="C190" i="2"/>
  <c r="E189" i="2"/>
  <c r="D189" i="2"/>
  <c r="C189" i="2"/>
  <c r="E188" i="2"/>
  <c r="D188" i="2"/>
  <c r="C188" i="2"/>
  <c r="E187" i="2"/>
  <c r="D187" i="2"/>
  <c r="C187" i="2"/>
  <c r="D186" i="2"/>
  <c r="C186" i="2"/>
  <c r="D185" i="2"/>
  <c r="C185" i="2"/>
  <c r="D184" i="2"/>
  <c r="C184" i="3" s="1"/>
  <c r="C184" i="2"/>
  <c r="D183" i="2"/>
  <c r="C183" i="2"/>
  <c r="E183" i="2" s="1"/>
  <c r="E182" i="2"/>
  <c r="D182" i="2"/>
  <c r="C182" i="2"/>
  <c r="D181" i="2"/>
  <c r="C181" i="2"/>
  <c r="D180" i="2"/>
  <c r="C180" i="2"/>
  <c r="E180" i="2" s="1"/>
  <c r="D179" i="2"/>
  <c r="C179" i="2"/>
  <c r="E178" i="2"/>
  <c r="D178" i="2"/>
  <c r="C178" i="2"/>
  <c r="D177" i="2"/>
  <c r="C177" i="2"/>
  <c r="D176" i="2"/>
  <c r="C176" i="2"/>
  <c r="E176" i="2" s="1"/>
  <c r="D175" i="2"/>
  <c r="C175" i="2"/>
  <c r="D174" i="2"/>
  <c r="C174" i="2"/>
  <c r="E174" i="2" s="1"/>
  <c r="D173" i="2"/>
  <c r="C173" i="2"/>
  <c r="E173" i="2" s="1"/>
  <c r="E172" i="2"/>
  <c r="D172" i="2"/>
  <c r="C172" i="2"/>
  <c r="D171" i="2"/>
  <c r="C171" i="2"/>
  <c r="D170" i="2"/>
  <c r="C170" i="2"/>
  <c r="D169" i="2"/>
  <c r="C169" i="2"/>
  <c r="D168" i="2"/>
  <c r="C168" i="2"/>
  <c r="E168" i="2" s="1"/>
  <c r="D167" i="2"/>
  <c r="C167" i="2"/>
  <c r="E167" i="2" s="1"/>
  <c r="D166" i="2"/>
  <c r="C166" i="2"/>
  <c r="E166" i="2" s="1"/>
  <c r="D165" i="2"/>
  <c r="C165" i="2"/>
  <c r="D164" i="2"/>
  <c r="C164" i="2"/>
  <c r="D163" i="2"/>
  <c r="E163" i="2" s="1"/>
  <c r="C163" i="2"/>
  <c r="D162" i="2"/>
  <c r="C162" i="2"/>
  <c r="E162" i="2" s="1"/>
  <c r="D161" i="2"/>
  <c r="C161" i="3" s="1"/>
  <c r="C161" i="2"/>
  <c r="E160" i="2"/>
  <c r="D160" i="2"/>
  <c r="C160" i="2"/>
  <c r="D159" i="2"/>
  <c r="C159" i="2"/>
  <c r="D158" i="2"/>
  <c r="C158" i="2"/>
  <c r="E158" i="2" s="1"/>
  <c r="D157" i="2"/>
  <c r="C157" i="2"/>
  <c r="D156" i="2"/>
  <c r="E156" i="2" s="1"/>
  <c r="C156" i="2"/>
  <c r="D155" i="2"/>
  <c r="C155" i="2"/>
  <c r="D154" i="2"/>
  <c r="C154" i="2"/>
  <c r="E153" i="2"/>
  <c r="D153" i="2"/>
  <c r="C153" i="2"/>
  <c r="E152" i="2"/>
  <c r="D152" i="2"/>
  <c r="C152" i="2"/>
  <c r="D151" i="2"/>
  <c r="C151" i="2"/>
  <c r="D150" i="2"/>
  <c r="C150" i="2"/>
  <c r="E150" i="2" s="1"/>
  <c r="E149" i="2"/>
  <c r="D149" i="2"/>
  <c r="C149" i="2"/>
  <c r="D148" i="2"/>
  <c r="C148" i="2"/>
  <c r="E148" i="2" s="1"/>
  <c r="D147" i="2"/>
  <c r="C147" i="2"/>
  <c r="E146" i="2"/>
  <c r="D146" i="2"/>
  <c r="C146" i="2"/>
  <c r="D145" i="2"/>
  <c r="C145" i="2"/>
  <c r="D144" i="2"/>
  <c r="C144" i="2"/>
  <c r="D143" i="2"/>
  <c r="C143" i="2"/>
  <c r="E143" i="2" s="1"/>
  <c r="D142" i="2"/>
  <c r="C142" i="2"/>
  <c r="E142" i="2" s="1"/>
  <c r="D141" i="2"/>
  <c r="C141" i="2"/>
  <c r="D140" i="2"/>
  <c r="C140" i="2"/>
  <c r="E140" i="2" s="1"/>
  <c r="D139" i="2"/>
  <c r="C139" i="2"/>
  <c r="D138" i="2"/>
  <c r="C138" i="2"/>
  <c r="E138" i="2" s="1"/>
  <c r="D137" i="2"/>
  <c r="C137" i="2"/>
  <c r="D136" i="2"/>
  <c r="C136" i="2"/>
  <c r="E136" i="2" s="1"/>
  <c r="D135" i="2"/>
  <c r="C135" i="2"/>
  <c r="D134" i="2"/>
  <c r="C134" i="2"/>
  <c r="D133" i="2"/>
  <c r="C133" i="2"/>
  <c r="E133" i="2" s="1"/>
  <c r="E132" i="2"/>
  <c r="D132" i="2"/>
  <c r="C132" i="2"/>
  <c r="D131" i="2"/>
  <c r="C131" i="2"/>
  <c r="D130" i="2"/>
  <c r="C130" i="2"/>
  <c r="E130" i="2" s="1"/>
  <c r="D129" i="2"/>
  <c r="C129" i="2"/>
  <c r="E128" i="2"/>
  <c r="D128" i="2"/>
  <c r="C128" i="2"/>
  <c r="D127" i="2"/>
  <c r="C127" i="2"/>
  <c r="D126" i="2"/>
  <c r="C126" i="2"/>
  <c r="E126" i="2" s="1"/>
  <c r="D125" i="2"/>
  <c r="C125" i="2"/>
  <c r="D124" i="2"/>
  <c r="C124" i="2"/>
  <c r="E124" i="2" s="1"/>
  <c r="D123" i="2"/>
  <c r="C123" i="2"/>
  <c r="E123" i="2" s="1"/>
  <c r="E122" i="2"/>
  <c r="D122" i="2"/>
  <c r="C122" i="2"/>
  <c r="D121" i="2"/>
  <c r="C121" i="2"/>
  <c r="D120" i="2"/>
  <c r="C120" i="2"/>
  <c r="D119" i="2"/>
  <c r="C119" i="2"/>
  <c r="E118" i="2"/>
  <c r="D118" i="2"/>
  <c r="C118" i="2"/>
  <c r="D117" i="2"/>
  <c r="C117" i="2"/>
  <c r="E117" i="2" s="1"/>
  <c r="D116" i="2"/>
  <c r="C116" i="2"/>
  <c r="E116" i="2" s="1"/>
  <c r="D115" i="2"/>
  <c r="C115" i="2"/>
  <c r="D114" i="2"/>
  <c r="C114" i="2"/>
  <c r="D113" i="2"/>
  <c r="C113" i="2"/>
  <c r="D112" i="2"/>
  <c r="C112" i="2"/>
  <c r="E112" i="2" s="1"/>
  <c r="D111" i="2"/>
  <c r="C111" i="2"/>
  <c r="E110" i="2"/>
  <c r="D110" i="2"/>
  <c r="C110" i="2"/>
  <c r="D109" i="2"/>
  <c r="C109" i="2"/>
  <c r="D108" i="2"/>
  <c r="C108" i="2"/>
  <c r="E108" i="2" s="1"/>
  <c r="D107" i="2"/>
  <c r="C107" i="2"/>
  <c r="D106" i="2"/>
  <c r="C106" i="2"/>
  <c r="D105" i="2"/>
  <c r="C105" i="2"/>
  <c r="E104" i="2"/>
  <c r="D104" i="2"/>
  <c r="C104" i="2"/>
  <c r="D103" i="2"/>
  <c r="C103" i="2"/>
  <c r="E103" i="2" s="1"/>
  <c r="D102" i="2"/>
  <c r="C102" i="2"/>
  <c r="E102" i="2" s="1"/>
  <c r="D101" i="2"/>
  <c r="C101" i="2"/>
  <c r="E100" i="2"/>
  <c r="D100" i="2"/>
  <c r="C100" i="2"/>
  <c r="D99" i="2"/>
  <c r="C99" i="2"/>
  <c r="D98" i="2"/>
  <c r="C98" i="2"/>
  <c r="E98" i="2" s="1"/>
  <c r="D97" i="2"/>
  <c r="C97" i="2"/>
  <c r="D96" i="2"/>
  <c r="C96" i="2"/>
  <c r="D95" i="2"/>
  <c r="C95" i="2"/>
  <c r="D94" i="2"/>
  <c r="C94" i="2"/>
  <c r="E94" i="2" s="1"/>
  <c r="D93" i="2"/>
  <c r="C93" i="2"/>
  <c r="E93" i="2" s="1"/>
  <c r="D92" i="2"/>
  <c r="C92" i="2"/>
  <c r="E92" i="2" s="1"/>
  <c r="D91" i="2"/>
  <c r="C91" i="2"/>
  <c r="E90" i="2"/>
  <c r="D90" i="2"/>
  <c r="C90" i="2"/>
  <c r="D89" i="2"/>
  <c r="C89" i="2"/>
  <c r="D88" i="2"/>
  <c r="C88" i="2"/>
  <c r="E88" i="2" s="1"/>
  <c r="D87" i="2"/>
  <c r="C87" i="2"/>
  <c r="D86" i="2"/>
  <c r="C86" i="2"/>
  <c r="E85" i="2"/>
  <c r="D85" i="2"/>
  <c r="C85" i="2"/>
  <c r="D84" i="2"/>
  <c r="C84" i="2"/>
  <c r="E84" i="2" s="1"/>
  <c r="D83" i="2"/>
  <c r="C83" i="2"/>
  <c r="E83" i="2" s="1"/>
  <c r="D82" i="2"/>
  <c r="C82" i="2"/>
  <c r="D81" i="2"/>
  <c r="C81" i="2"/>
  <c r="E80" i="2"/>
  <c r="D80" i="2"/>
  <c r="C80" i="2"/>
  <c r="D79" i="2"/>
  <c r="C79" i="2"/>
  <c r="D78" i="2"/>
  <c r="C78" i="2"/>
  <c r="E78" i="2" s="1"/>
  <c r="D77" i="2"/>
  <c r="C77" i="2"/>
  <c r="D76" i="2"/>
  <c r="C76" i="2"/>
  <c r="D75" i="2"/>
  <c r="E75" i="2" s="1"/>
  <c r="C75" i="2"/>
  <c r="D74" i="2"/>
  <c r="C74" i="2"/>
  <c r="E74" i="2" s="1"/>
  <c r="D73" i="2"/>
  <c r="C73" i="2"/>
  <c r="E73" i="2" s="1"/>
  <c r="D72" i="2"/>
  <c r="E72" i="2" s="1"/>
  <c r="C72" i="2"/>
  <c r="D71" i="2"/>
  <c r="C71" i="2"/>
  <c r="E70" i="2"/>
  <c r="D70" i="2"/>
  <c r="C70" i="2"/>
  <c r="D69" i="2"/>
  <c r="C69" i="2"/>
  <c r="D68" i="2"/>
  <c r="C68" i="2"/>
  <c r="E68" i="2" s="1"/>
  <c r="D67" i="2"/>
  <c r="C67" i="2"/>
  <c r="D66" i="2"/>
  <c r="C66" i="2"/>
  <c r="D65" i="2"/>
  <c r="E65" i="2" s="1"/>
  <c r="C65" i="2"/>
  <c r="D64" i="2"/>
  <c r="C64" i="2"/>
  <c r="E64" i="2" s="1"/>
  <c r="D63" i="2"/>
  <c r="C63" i="2"/>
  <c r="E63" i="2" s="1"/>
  <c r="D62" i="2"/>
  <c r="C62" i="3" s="1"/>
  <c r="C62" i="2"/>
  <c r="D61" i="2"/>
  <c r="C61" i="2"/>
  <c r="E60" i="2"/>
  <c r="D60" i="2"/>
  <c r="C60" i="2"/>
  <c r="D59" i="2"/>
  <c r="C59" i="2"/>
  <c r="D58" i="2"/>
  <c r="C58" i="2"/>
  <c r="E58" i="2" s="1"/>
  <c r="D57" i="2"/>
  <c r="C57" i="2"/>
  <c r="D56" i="2"/>
  <c r="C56" i="2"/>
  <c r="D55" i="2"/>
  <c r="C55" i="2"/>
  <c r="D54" i="2"/>
  <c r="C54" i="2"/>
  <c r="E54" i="2" s="1"/>
  <c r="D53" i="2"/>
  <c r="C53" i="2"/>
  <c r="E53" i="2" s="1"/>
  <c r="D52" i="2"/>
  <c r="E52" i="2" s="1"/>
  <c r="C52" i="2"/>
  <c r="D51" i="2"/>
  <c r="C51" i="2"/>
  <c r="E50" i="2"/>
  <c r="D50" i="2"/>
  <c r="C50" i="2"/>
  <c r="D49" i="2"/>
  <c r="C49" i="2"/>
  <c r="D48" i="2"/>
  <c r="C48" i="2"/>
  <c r="E48" i="2" s="1"/>
  <c r="D47" i="2"/>
  <c r="C47" i="2"/>
  <c r="D46" i="2"/>
  <c r="C46" i="2"/>
  <c r="D45" i="2"/>
  <c r="C45" i="2"/>
  <c r="D44" i="2"/>
  <c r="C44" i="2"/>
  <c r="E44" i="2" s="1"/>
  <c r="D43" i="2"/>
  <c r="C43" i="2"/>
  <c r="E43" i="2" s="1"/>
  <c r="D42" i="2"/>
  <c r="F42" i="4" s="1"/>
  <c r="C42" i="2"/>
  <c r="E41" i="2"/>
  <c r="D41" i="2"/>
  <c r="C41" i="2"/>
  <c r="E40" i="2"/>
  <c r="D40" i="2"/>
  <c r="C40" i="2"/>
  <c r="D39" i="2"/>
  <c r="C39" i="2"/>
  <c r="D38" i="2"/>
  <c r="C38" i="2"/>
  <c r="D37" i="2"/>
  <c r="C37" i="2"/>
  <c r="D36" i="2"/>
  <c r="C36" i="2"/>
  <c r="D35" i="2"/>
  <c r="E35" i="2" s="1"/>
  <c r="C35" i="2"/>
  <c r="D34" i="2"/>
  <c r="C34" i="2"/>
  <c r="E34" i="2" s="1"/>
  <c r="D33" i="2"/>
  <c r="C32" i="5" s="1"/>
  <c r="C33" i="2"/>
  <c r="E33" i="2" s="1"/>
  <c r="D32" i="2"/>
  <c r="E32" i="2" s="1"/>
  <c r="C32" i="2"/>
  <c r="E31" i="2"/>
  <c r="D31" i="2"/>
  <c r="C31" i="2"/>
  <c r="E30" i="2"/>
  <c r="D30" i="2"/>
  <c r="C30" i="2"/>
  <c r="D29" i="2"/>
  <c r="C29" i="2"/>
  <c r="D28" i="2"/>
  <c r="E28" i="2" s="1"/>
  <c r="C28" i="2"/>
  <c r="D27" i="2"/>
  <c r="C27" i="2"/>
  <c r="D26" i="2"/>
  <c r="C26" i="3" s="1"/>
  <c r="C26" i="2"/>
  <c r="D25" i="2"/>
  <c r="E25" i="2" s="1"/>
  <c r="C25" i="2"/>
  <c r="D24" i="2"/>
  <c r="C24" i="2"/>
  <c r="E24" i="2" s="1"/>
  <c r="D23" i="2"/>
  <c r="C23" i="2"/>
  <c r="E23" i="2" s="1"/>
  <c r="D22" i="2"/>
  <c r="C22" i="2"/>
  <c r="D21" i="2"/>
  <c r="E21" i="2" s="1"/>
  <c r="C21" i="2"/>
  <c r="E20" i="2"/>
  <c r="D20" i="2"/>
  <c r="C20" i="2"/>
  <c r="D19" i="2"/>
  <c r="C19" i="2"/>
  <c r="D18" i="2"/>
  <c r="C18" i="2"/>
  <c r="E18" i="2" s="1"/>
  <c r="D17" i="2"/>
  <c r="E17" i="2" s="1"/>
  <c r="C17" i="2"/>
  <c r="D16" i="2"/>
  <c r="F16" i="4" s="1"/>
  <c r="C16" i="2"/>
  <c r="D15" i="2"/>
  <c r="C15" i="2"/>
  <c r="D14" i="2"/>
  <c r="C14" i="2"/>
  <c r="E14" i="2" s="1"/>
  <c r="J13" i="2"/>
  <c r="E13" i="2"/>
  <c r="D13" i="2"/>
  <c r="C13" i="2"/>
  <c r="J12" i="2"/>
  <c r="J15" i="2" s="1"/>
  <c r="E12" i="2"/>
  <c r="D12" i="2"/>
  <c r="C12" i="2"/>
  <c r="D11" i="2"/>
  <c r="C11" i="2"/>
  <c r="D10" i="2"/>
  <c r="C10" i="2"/>
  <c r="D9" i="2"/>
  <c r="C9" i="2"/>
  <c r="D8" i="2"/>
  <c r="C8" i="2"/>
  <c r="J9" i="2"/>
  <c r="J6" i="2"/>
  <c r="D6" i="2"/>
  <c r="C6" i="2"/>
  <c r="E6" i="2" s="1"/>
  <c r="J5" i="2"/>
  <c r="J8" i="2" s="1"/>
  <c r="C5" i="6" l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J4" i="7"/>
  <c r="R4" i="7" s="1"/>
  <c r="D5" i="4"/>
  <c r="E5" i="4" s="1"/>
  <c r="D10" i="6"/>
  <c r="D20" i="6"/>
  <c r="D35" i="6"/>
  <c r="C68" i="4"/>
  <c r="D34" i="6"/>
  <c r="D16" i="6"/>
  <c r="D41" i="6"/>
  <c r="D46" i="6"/>
  <c r="D56" i="6"/>
  <c r="D59" i="6"/>
  <c r="D52" i="6"/>
  <c r="D62" i="6"/>
  <c r="D60" i="6"/>
  <c r="D53" i="6"/>
  <c r="D24" i="6"/>
  <c r="D39" i="6"/>
  <c r="D49" i="6"/>
  <c r="D7" i="6"/>
  <c r="D12" i="6"/>
  <c r="D37" i="6"/>
  <c r="D42" i="6"/>
  <c r="D44" i="6"/>
  <c r="D36" i="6"/>
  <c r="D38" i="6"/>
  <c r="D40" i="6"/>
  <c r="D15" i="6"/>
  <c r="D22" i="6"/>
  <c r="D5" i="6"/>
  <c r="D17" i="6"/>
  <c r="D27" i="6"/>
  <c r="D32" i="6"/>
  <c r="D18" i="6"/>
  <c r="D30" i="6"/>
  <c r="D63" i="6"/>
  <c r="O162" i="3"/>
  <c r="P161" i="3"/>
  <c r="E161" i="3"/>
  <c r="D161" i="3"/>
  <c r="E62" i="3"/>
  <c r="P62" i="3"/>
  <c r="O63" i="3"/>
  <c r="D62" i="3"/>
  <c r="C87" i="3"/>
  <c r="E87" i="2"/>
  <c r="C239" i="3"/>
  <c r="E239" i="2"/>
  <c r="E71" i="2"/>
  <c r="J38" i="6"/>
  <c r="C39" i="3"/>
  <c r="C38" i="5"/>
  <c r="E39" i="2"/>
  <c r="F39" i="4"/>
  <c r="C114" i="3"/>
  <c r="E114" i="2"/>
  <c r="C179" i="3"/>
  <c r="E179" i="2"/>
  <c r="J7" i="6"/>
  <c r="E8" i="2"/>
  <c r="C8" i="3"/>
  <c r="F8" i="4"/>
  <c r="C70" i="5"/>
  <c r="E70" i="5" s="1"/>
  <c r="J28" i="6"/>
  <c r="C29" i="3"/>
  <c r="C28" i="5"/>
  <c r="F29" i="4"/>
  <c r="E29" i="2"/>
  <c r="P184" i="3"/>
  <c r="E184" i="3"/>
  <c r="O185" i="3"/>
  <c r="O116" i="3"/>
  <c r="P115" i="3"/>
  <c r="E115" i="3"/>
  <c r="D115" i="3"/>
  <c r="O144" i="3"/>
  <c r="P143" i="3"/>
  <c r="D143" i="3"/>
  <c r="J11" i="6"/>
  <c r="D74" i="5" a="1"/>
  <c r="D74" i="5" s="1"/>
  <c r="F74" i="5" s="1"/>
  <c r="C11" i="5"/>
  <c r="F12" i="4"/>
  <c r="C12" i="3"/>
  <c r="C74" i="5"/>
  <c r="E74" i="5" s="1"/>
  <c r="C17" i="5"/>
  <c r="J17" i="6"/>
  <c r="C18" i="3"/>
  <c r="F18" i="4"/>
  <c r="E33" i="5"/>
  <c r="D32" i="5"/>
  <c r="F33" i="5" s="1"/>
  <c r="J36" i="6"/>
  <c r="C37" i="3"/>
  <c r="C36" i="5"/>
  <c r="E37" i="2"/>
  <c r="C40" i="5"/>
  <c r="J40" i="6"/>
  <c r="C41" i="3"/>
  <c r="F41" i="4"/>
  <c r="C85" i="3"/>
  <c r="C137" i="3"/>
  <c r="E137" i="2"/>
  <c r="C193" i="3"/>
  <c r="E193" i="2"/>
  <c r="E14" i="3"/>
  <c r="P14" i="3"/>
  <c r="O15" i="3"/>
  <c r="D14" i="3"/>
  <c r="C42" i="3"/>
  <c r="E100" i="3"/>
  <c r="O101" i="3"/>
  <c r="D100" i="3"/>
  <c r="E143" i="3"/>
  <c r="O168" i="3"/>
  <c r="P167" i="3"/>
  <c r="D167" i="3"/>
  <c r="D184" i="3"/>
  <c r="O238" i="3"/>
  <c r="P237" i="3"/>
  <c r="E237" i="3"/>
  <c r="D237" i="3"/>
  <c r="C7" i="5"/>
  <c r="C72" i="5"/>
  <c r="E72" i="5" s="1"/>
  <c r="C9" i="5"/>
  <c r="D72" i="5" a="1"/>
  <c r="D72" i="5" s="1"/>
  <c r="F72" i="5" s="1"/>
  <c r="J9" i="6"/>
  <c r="C10" i="3"/>
  <c r="F10" i="4"/>
  <c r="C209" i="3"/>
  <c r="E209" i="2"/>
  <c r="P20" i="3"/>
  <c r="E20" i="3"/>
  <c r="D20" i="3"/>
  <c r="O21" i="3"/>
  <c r="E10" i="2"/>
  <c r="F28" i="4"/>
  <c r="C28" i="3"/>
  <c r="J27" i="6"/>
  <c r="C27" i="5"/>
  <c r="C50" i="5"/>
  <c r="J50" i="6"/>
  <c r="C51" i="3"/>
  <c r="E51" i="2"/>
  <c r="C58" i="5"/>
  <c r="J58" i="6"/>
  <c r="F59" i="4"/>
  <c r="E59" i="2"/>
  <c r="C59" i="3"/>
  <c r="C67" i="3"/>
  <c r="E67" i="2"/>
  <c r="C144" i="3"/>
  <c r="E144" i="2"/>
  <c r="C205" i="3"/>
  <c r="E205" i="2"/>
  <c r="O218" i="3"/>
  <c r="P217" i="3"/>
  <c r="D217" i="3"/>
  <c r="E105" i="2"/>
  <c r="E161" i="2"/>
  <c r="E74" i="3"/>
  <c r="O75" i="3"/>
  <c r="D74" i="3"/>
  <c r="J4" i="6"/>
  <c r="C4" i="5"/>
  <c r="F5" i="4"/>
  <c r="C5" i="3"/>
  <c r="C51" i="5"/>
  <c r="J51" i="6"/>
  <c r="F52" i="4"/>
  <c r="C52" i="3"/>
  <c r="C97" i="3"/>
  <c r="E97" i="2"/>
  <c r="E171" i="2"/>
  <c r="C171" i="3"/>
  <c r="C197" i="3"/>
  <c r="E197" i="2"/>
  <c r="C206" i="3"/>
  <c r="E206" i="2"/>
  <c r="C236" i="3"/>
  <c r="E236" i="2"/>
  <c r="E54" i="3"/>
  <c r="O55" i="3"/>
  <c r="P54" i="3"/>
  <c r="D54" i="3"/>
  <c r="P74" i="3"/>
  <c r="O96" i="3"/>
  <c r="P95" i="3"/>
  <c r="E95" i="3"/>
  <c r="D95" i="3"/>
  <c r="P160" i="3"/>
  <c r="E160" i="3"/>
  <c r="O161" i="3"/>
  <c r="D160" i="3"/>
  <c r="J8" i="6"/>
  <c r="C71" i="5"/>
  <c r="E71" i="5" s="1"/>
  <c r="C8" i="5"/>
  <c r="F9" i="4"/>
  <c r="D71" i="5" a="1"/>
  <c r="D71" i="5" s="1"/>
  <c r="F71" i="5" s="1"/>
  <c r="C9" i="3"/>
  <c r="J14" i="6"/>
  <c r="C77" i="5"/>
  <c r="E77" i="5" s="1"/>
  <c r="F15" i="4"/>
  <c r="D77" i="5" a="1"/>
  <c r="D77" i="5" s="1"/>
  <c r="F77" i="5" s="1"/>
  <c r="C14" i="5"/>
  <c r="C15" i="3"/>
  <c r="J21" i="6"/>
  <c r="F22" i="4"/>
  <c r="C21" i="5"/>
  <c r="C22" i="3"/>
  <c r="C44" i="5"/>
  <c r="J44" i="6"/>
  <c r="C45" i="3"/>
  <c r="F45" i="4"/>
  <c r="C60" i="5"/>
  <c r="J60" i="6"/>
  <c r="F61" i="4"/>
  <c r="C61" i="3"/>
  <c r="E61" i="2"/>
  <c r="C69" i="3"/>
  <c r="E69" i="2"/>
  <c r="C77" i="3"/>
  <c r="E77" i="2"/>
  <c r="C107" i="3"/>
  <c r="E107" i="2"/>
  <c r="C129" i="3"/>
  <c r="E129" i="2"/>
  <c r="C216" i="3"/>
  <c r="E216" i="2"/>
  <c r="C255" i="3"/>
  <c r="E255" i="2"/>
  <c r="O27" i="3"/>
  <c r="E26" i="3"/>
  <c r="D26" i="3"/>
  <c r="P26" i="3"/>
  <c r="C37" i="5"/>
  <c r="J37" i="6"/>
  <c r="F38" i="4"/>
  <c r="C38" i="3"/>
  <c r="E45" i="2"/>
  <c r="E121" i="2"/>
  <c r="C121" i="3"/>
  <c r="O242" i="3"/>
  <c r="P241" i="3"/>
  <c r="E241" i="3"/>
  <c r="D241" i="3"/>
  <c r="J6" i="6"/>
  <c r="D69" i="5" a="1"/>
  <c r="D69" i="5" s="1"/>
  <c r="F69" i="5" s="1"/>
  <c r="C6" i="5"/>
  <c r="C69" i="5"/>
  <c r="E69" i="5" s="1"/>
  <c r="F7" i="4"/>
  <c r="C7" i="3"/>
  <c r="C15" i="5"/>
  <c r="J15" i="6"/>
  <c r="C16" i="3"/>
  <c r="E16" i="2"/>
  <c r="J34" i="6"/>
  <c r="F35" i="4"/>
  <c r="C34" i="5"/>
  <c r="E91" i="2"/>
  <c r="C35" i="3"/>
  <c r="C91" i="3"/>
  <c r="E7" i="2"/>
  <c r="J46" i="6"/>
  <c r="C47" i="3"/>
  <c r="C46" i="5"/>
  <c r="F47" i="4"/>
  <c r="E47" i="2"/>
  <c r="J54" i="6"/>
  <c r="C54" i="5"/>
  <c r="F55" i="4"/>
  <c r="C55" i="3"/>
  <c r="D92" i="7"/>
  <c r="E92" i="7" s="1"/>
  <c r="C75" i="3"/>
  <c r="C235" i="3"/>
  <c r="E235" i="2"/>
  <c r="C71" i="3"/>
  <c r="O126" i="3"/>
  <c r="D125" i="3"/>
  <c r="P125" i="3"/>
  <c r="E125" i="3"/>
  <c r="O156" i="3"/>
  <c r="P155" i="3"/>
  <c r="E155" i="3"/>
  <c r="D155" i="3"/>
  <c r="P230" i="3"/>
  <c r="E230" i="3"/>
  <c r="O231" i="3"/>
  <c r="D230" i="3"/>
  <c r="J16" i="6"/>
  <c r="C16" i="5"/>
  <c r="F17" i="4"/>
  <c r="C17" i="3"/>
  <c r="E55" i="2"/>
  <c r="E44" i="5"/>
  <c r="D43" i="5"/>
  <c r="F44" i="5" s="1"/>
  <c r="J20" i="6"/>
  <c r="C20" i="5"/>
  <c r="F21" i="4"/>
  <c r="C21" i="3"/>
  <c r="P180" i="3"/>
  <c r="E180" i="3"/>
  <c r="O181" i="3"/>
  <c r="D180" i="3"/>
  <c r="D70" i="5" a="1"/>
  <c r="D70" i="5" s="1"/>
  <c r="F70" i="5" s="1"/>
  <c r="E9" i="2"/>
  <c r="E15" i="2"/>
  <c r="E22" i="2"/>
  <c r="E38" i="2"/>
  <c r="J61" i="6"/>
  <c r="F62" i="4"/>
  <c r="C61" i="5"/>
  <c r="E82" i="2"/>
  <c r="C147" i="3"/>
  <c r="E147" i="2"/>
  <c r="E151" i="2"/>
  <c r="C151" i="3"/>
  <c r="C164" i="3"/>
  <c r="E164" i="2"/>
  <c r="C186" i="3"/>
  <c r="E186" i="2"/>
  <c r="C229" i="3"/>
  <c r="E229" i="2"/>
  <c r="E33" i="3"/>
  <c r="P33" i="3"/>
  <c r="O34" i="3"/>
  <c r="D33" i="3"/>
  <c r="C105" i="3"/>
  <c r="E120" i="3"/>
  <c r="O121" i="3"/>
  <c r="P120" i="3"/>
  <c r="D120" i="3"/>
  <c r="O192" i="3"/>
  <c r="P191" i="3"/>
  <c r="E191" i="3"/>
  <c r="D191" i="3"/>
  <c r="P210" i="3"/>
  <c r="E210" i="3"/>
  <c r="O211" i="3"/>
  <c r="D210" i="3"/>
  <c r="J31" i="6"/>
  <c r="F32" i="4"/>
  <c r="C32" i="3"/>
  <c r="C31" i="5"/>
  <c r="C157" i="3"/>
  <c r="E157" i="2"/>
  <c r="E217" i="3"/>
  <c r="C72" i="3"/>
  <c r="C101" i="3"/>
  <c r="E101" i="2"/>
  <c r="C119" i="3"/>
  <c r="E119" i="2"/>
  <c r="O228" i="3"/>
  <c r="E227" i="3"/>
  <c r="D227" i="3"/>
  <c r="P227" i="3"/>
  <c r="E25" i="3"/>
  <c r="O26" i="3"/>
  <c r="D25" i="3"/>
  <c r="J16" i="2"/>
  <c r="J24" i="6"/>
  <c r="C24" i="5"/>
  <c r="F25" i="4"/>
  <c r="J48" i="6"/>
  <c r="F49" i="4"/>
  <c r="C49" i="3"/>
  <c r="C48" i="5"/>
  <c r="E49" i="2"/>
  <c r="J56" i="6"/>
  <c r="C56" i="5"/>
  <c r="F57" i="4"/>
  <c r="C57" i="3"/>
  <c r="E57" i="2"/>
  <c r="C65" i="3"/>
  <c r="D97" i="7"/>
  <c r="E97" i="7" s="1"/>
  <c r="C81" i="3"/>
  <c r="E81" i="2"/>
  <c r="E111" i="2"/>
  <c r="C111" i="3"/>
  <c r="E154" i="2"/>
  <c r="C154" i="3"/>
  <c r="E82" i="3"/>
  <c r="P82" i="3"/>
  <c r="O83" i="3"/>
  <c r="D82" i="3"/>
  <c r="O188" i="3"/>
  <c r="P187" i="3"/>
  <c r="E187" i="3"/>
  <c r="D187" i="3"/>
  <c r="J18" i="6"/>
  <c r="C18" i="5"/>
  <c r="C19" i="3"/>
  <c r="F19" i="4"/>
  <c r="E19" i="2"/>
  <c r="J41" i="6"/>
  <c r="C41" i="5"/>
  <c r="J12" i="6"/>
  <c r="C12" i="5"/>
  <c r="C13" i="3"/>
  <c r="C75" i="5"/>
  <c r="E75" i="5" s="1"/>
  <c r="D75" i="5" a="1"/>
  <c r="D75" i="5" s="1"/>
  <c r="F75" i="5" s="1"/>
  <c r="F13" i="4"/>
  <c r="J26" i="6"/>
  <c r="C26" i="5"/>
  <c r="F27" i="4"/>
  <c r="C27" i="3"/>
  <c r="E27" i="2"/>
  <c r="C30" i="5"/>
  <c r="J30" i="6"/>
  <c r="C31" i="3"/>
  <c r="F31" i="4"/>
  <c r="E42" i="2"/>
  <c r="E62" i="2"/>
  <c r="E95" i="2"/>
  <c r="C139" i="3"/>
  <c r="E139" i="2"/>
  <c r="C169" i="3"/>
  <c r="E169" i="2"/>
  <c r="C190" i="3"/>
  <c r="E190" i="2"/>
  <c r="E204" i="2"/>
  <c r="C204" i="3"/>
  <c r="C225" i="3"/>
  <c r="E225" i="2"/>
  <c r="O212" i="3"/>
  <c r="P211" i="3"/>
  <c r="E211" i="3"/>
  <c r="D211" i="3"/>
  <c r="F51" i="4"/>
  <c r="C23" i="5"/>
  <c r="C24" i="3"/>
  <c r="J23" i="6"/>
  <c r="F24" i="4"/>
  <c r="C33" i="5"/>
  <c r="J33" i="6"/>
  <c r="C34" i="3"/>
  <c r="C44" i="3"/>
  <c r="F44" i="4"/>
  <c r="J53" i="6"/>
  <c r="C53" i="5"/>
  <c r="J63" i="6"/>
  <c r="C63" i="5"/>
  <c r="D63" i="5" s="1"/>
  <c r="C104" i="3"/>
  <c r="D135" i="7"/>
  <c r="E135" i="7" s="1"/>
  <c r="E125" i="2"/>
  <c r="C136" i="3"/>
  <c r="C150" i="3"/>
  <c r="D185" i="7"/>
  <c r="E185" i="7" s="1"/>
  <c r="C175" i="3"/>
  <c r="E175" i="2"/>
  <c r="C243" i="3"/>
  <c r="E247" i="2"/>
  <c r="C109" i="3"/>
  <c r="E118" i="3"/>
  <c r="O119" i="3"/>
  <c r="P118" i="3"/>
  <c r="D118" i="3"/>
  <c r="P234" i="3"/>
  <c r="E234" i="3"/>
  <c r="O235" i="3"/>
  <c r="J43" i="6"/>
  <c r="D54" i="6"/>
  <c r="D55" i="6"/>
  <c r="J47" i="6"/>
  <c r="C47" i="5"/>
  <c r="C48" i="3"/>
  <c r="J57" i="6"/>
  <c r="C57" i="5"/>
  <c r="F58" i="4"/>
  <c r="C58" i="3"/>
  <c r="C68" i="3"/>
  <c r="C78" i="3"/>
  <c r="C88" i="3"/>
  <c r="E115" i="2"/>
  <c r="C133" i="3"/>
  <c r="C165" i="3"/>
  <c r="E165" i="2"/>
  <c r="C176" i="3"/>
  <c r="C183" i="3"/>
  <c r="E194" i="2"/>
  <c r="C213" i="3"/>
  <c r="E217" i="2"/>
  <c r="C79" i="3"/>
  <c r="C134" i="3"/>
  <c r="E138" i="3"/>
  <c r="O139" i="3"/>
  <c r="P138" i="3"/>
  <c r="D138" i="3"/>
  <c r="O150" i="3"/>
  <c r="P149" i="3"/>
  <c r="P254" i="3"/>
  <c r="E254" i="3"/>
  <c r="O255" i="3"/>
  <c r="C116" i="3"/>
  <c r="C130" i="3"/>
  <c r="E155" i="2"/>
  <c r="C166" i="3"/>
  <c r="C173" i="3"/>
  <c r="D210" i="7"/>
  <c r="E210" i="7" s="1"/>
  <c r="C195" i="3"/>
  <c r="E195" i="2"/>
  <c r="C233" i="3"/>
  <c r="D250" i="7"/>
  <c r="E250" i="7" s="1"/>
  <c r="E237" i="2"/>
  <c r="E30" i="3"/>
  <c r="C106" i="3"/>
  <c r="E149" i="3"/>
  <c r="P174" i="3"/>
  <c r="E174" i="3"/>
  <c r="O175" i="3"/>
  <c r="P224" i="3"/>
  <c r="E224" i="3"/>
  <c r="O225" i="3"/>
  <c r="F34" i="4"/>
  <c r="F48" i="4"/>
  <c r="D116" i="7"/>
  <c r="E116" i="7" s="1"/>
  <c r="C99" i="3"/>
  <c r="C127" i="3"/>
  <c r="E141" i="2"/>
  <c r="C159" i="3"/>
  <c r="D199" i="7"/>
  <c r="E199" i="7" s="1"/>
  <c r="E184" i="2"/>
  <c r="C199" i="3"/>
  <c r="C226" i="3"/>
  <c r="C245" i="3"/>
  <c r="E245" i="2"/>
  <c r="C249" i="3"/>
  <c r="E43" i="3"/>
  <c r="P43" i="3"/>
  <c r="O44" i="3"/>
  <c r="C84" i="3"/>
  <c r="E92" i="3"/>
  <c r="O93" i="3"/>
  <c r="P92" i="3"/>
  <c r="E102" i="3"/>
  <c r="O103" i="3"/>
  <c r="D102" i="3"/>
  <c r="O136" i="3"/>
  <c r="P135" i="3"/>
  <c r="E135" i="3"/>
  <c r="C140" i="3"/>
  <c r="O182" i="3"/>
  <c r="P181" i="3"/>
  <c r="E181" i="3"/>
  <c r="P200" i="3"/>
  <c r="E200" i="3"/>
  <c r="O201" i="3"/>
  <c r="O232" i="3"/>
  <c r="P231" i="3"/>
  <c r="E231" i="3"/>
  <c r="P250" i="3"/>
  <c r="E250" i="3"/>
  <c r="O251" i="3"/>
  <c r="J10" i="6"/>
  <c r="C10" i="5"/>
  <c r="D73" i="5" a="1"/>
  <c r="D73" i="5" s="1"/>
  <c r="F73" i="5" s="1"/>
  <c r="C73" i="5"/>
  <c r="E73" i="5" s="1"/>
  <c r="C25" i="5"/>
  <c r="J25" i="6"/>
  <c r="F26" i="4"/>
  <c r="C35" i="5"/>
  <c r="J35" i="6"/>
  <c r="C45" i="5"/>
  <c r="J45" i="6"/>
  <c r="F46" i="4"/>
  <c r="C46" i="3"/>
  <c r="C55" i="5"/>
  <c r="J55" i="6"/>
  <c r="C56" i="3"/>
  <c r="C66" i="3"/>
  <c r="C76" i="3"/>
  <c r="E79" i="2"/>
  <c r="C86" i="3"/>
  <c r="E89" i="2"/>
  <c r="C96" i="3"/>
  <c r="E99" i="2"/>
  <c r="E109" i="2"/>
  <c r="C113" i="3"/>
  <c r="D135" i="3"/>
  <c r="D59" i="5"/>
  <c r="F60" i="5" s="1"/>
  <c r="E60" i="5"/>
  <c r="C253" i="3"/>
  <c r="P30" i="3"/>
  <c r="C89" i="3"/>
  <c r="D92" i="3"/>
  <c r="P102" i="3"/>
  <c r="C126" i="3"/>
  <c r="D181" i="3"/>
  <c r="C194" i="3"/>
  <c r="D200" i="3"/>
  <c r="D207" i="3"/>
  <c r="D231" i="3"/>
  <c r="P244" i="3"/>
  <c r="E244" i="3"/>
  <c r="O245" i="3"/>
  <c r="D250" i="3"/>
  <c r="C5" i="5"/>
  <c r="K1" i="6"/>
  <c r="C68" i="5"/>
  <c r="E68" i="5" s="1"/>
  <c r="C6" i="3"/>
  <c r="F6" i="4"/>
  <c r="J5" i="6"/>
  <c r="D68" i="5" a="1"/>
  <c r="D68" i="5" s="1"/>
  <c r="F68" i="5" s="1"/>
  <c r="E11" i="2"/>
  <c r="C76" i="5"/>
  <c r="E76" i="5" s="1"/>
  <c r="D76" i="5" a="1"/>
  <c r="D76" i="5" s="1"/>
  <c r="F76" i="5" s="1"/>
  <c r="C13" i="5"/>
  <c r="J13" i="6"/>
  <c r="J22" i="6"/>
  <c r="C22" i="5"/>
  <c r="F23" i="4"/>
  <c r="C23" i="3"/>
  <c r="E26" i="2"/>
  <c r="J32" i="6"/>
  <c r="E36" i="2"/>
  <c r="J42" i="6"/>
  <c r="C42" i="5"/>
  <c r="F43" i="4"/>
  <c r="E46" i="2"/>
  <c r="J52" i="6"/>
  <c r="C53" i="3"/>
  <c r="C52" i="5"/>
  <c r="E56" i="2"/>
  <c r="C62" i="5"/>
  <c r="J62" i="6"/>
  <c r="C63" i="3"/>
  <c r="E66" i="2"/>
  <c r="C73" i="3"/>
  <c r="E76" i="2"/>
  <c r="C83" i="3"/>
  <c r="E86" i="2"/>
  <c r="D110" i="7"/>
  <c r="E110" i="7" s="1"/>
  <c r="C93" i="3"/>
  <c r="E96" i="2"/>
  <c r="E106" i="2"/>
  <c r="E113" i="2"/>
  <c r="E120" i="2"/>
  <c r="C124" i="3"/>
  <c r="E131" i="2"/>
  <c r="C131" i="3"/>
  <c r="E170" i="2"/>
  <c r="D192" i="7"/>
  <c r="E192" i="7" s="1"/>
  <c r="C185" i="3"/>
  <c r="E185" i="2"/>
  <c r="C215" i="3"/>
  <c r="E215" i="2"/>
  <c r="D236" i="7"/>
  <c r="E236" i="7" s="1"/>
  <c r="C219" i="3"/>
  <c r="E230" i="2"/>
  <c r="C246" i="3"/>
  <c r="E253" i="2"/>
  <c r="D40" i="3"/>
  <c r="C64" i="3"/>
  <c r="C103" i="3"/>
  <c r="E112" i="3"/>
  <c r="O113" i="3"/>
  <c r="P112" i="3"/>
  <c r="D117" i="3"/>
  <c r="E122" i="3"/>
  <c r="O123" i="3"/>
  <c r="D122" i="3"/>
  <c r="C146" i="3"/>
  <c r="C170" i="3"/>
  <c r="C177" i="3"/>
  <c r="O202" i="3"/>
  <c r="P201" i="3"/>
  <c r="E201" i="3"/>
  <c r="E207" i="3"/>
  <c r="C220" i="3"/>
  <c r="D244" i="3"/>
  <c r="O252" i="3"/>
  <c r="P251" i="3"/>
  <c r="E251" i="3"/>
  <c r="F63" i="4"/>
  <c r="D138" i="7"/>
  <c r="E138" i="7" s="1"/>
  <c r="E127" i="2"/>
  <c r="E134" i="2"/>
  <c r="E145" i="2"/>
  <c r="C145" i="3"/>
  <c r="C156" i="3"/>
  <c r="E159" i="2"/>
  <c r="C163" i="3"/>
  <c r="E177" i="2"/>
  <c r="C196" i="3"/>
  <c r="E199" i="2"/>
  <c r="D218" i="7"/>
  <c r="E218" i="7" s="1"/>
  <c r="C203" i="3"/>
  <c r="E207" i="2"/>
  <c r="E226" i="2"/>
  <c r="E249" i="2"/>
  <c r="D43" i="3"/>
  <c r="C19" i="5"/>
  <c r="F20" i="4"/>
  <c r="J19" i="6"/>
  <c r="J29" i="6"/>
  <c r="C29" i="5"/>
  <c r="J39" i="6"/>
  <c r="C39" i="5"/>
  <c r="F40" i="4"/>
  <c r="C49" i="5"/>
  <c r="C50" i="3"/>
  <c r="J49" i="6"/>
  <c r="J59" i="6"/>
  <c r="F60" i="4"/>
  <c r="C60" i="3"/>
  <c r="C70" i="3"/>
  <c r="C80" i="3"/>
  <c r="C90" i="3"/>
  <c r="D118" i="7"/>
  <c r="E118" i="7" s="1"/>
  <c r="C110" i="3"/>
  <c r="E135" i="2"/>
  <c r="D158" i="7"/>
  <c r="E158" i="7" s="1"/>
  <c r="C153" i="3"/>
  <c r="D206" i="7"/>
  <c r="E206" i="7" s="1"/>
  <c r="C189" i="3"/>
  <c r="D239" i="7"/>
  <c r="E239" i="7" s="1"/>
  <c r="C223" i="3"/>
  <c r="E227" i="2"/>
  <c r="C11" i="3"/>
  <c r="C36" i="3"/>
  <c r="E40" i="3"/>
  <c r="C94" i="3"/>
  <c r="C98" i="3"/>
  <c r="D112" i="3"/>
  <c r="E117" i="3"/>
  <c r="P122" i="3"/>
  <c r="C141" i="3"/>
  <c r="E152" i="3"/>
  <c r="O153" i="3"/>
  <c r="P152" i="3"/>
  <c r="D201" i="3"/>
  <c r="P207" i="3"/>
  <c r="P214" i="3"/>
  <c r="E214" i="3"/>
  <c r="O215" i="3"/>
  <c r="D251" i="3"/>
  <c r="F36" i="4"/>
  <c r="F50" i="4"/>
  <c r="D25" i="6"/>
  <c r="D26" i="6"/>
  <c r="P117" i="3"/>
  <c r="C123" i="3"/>
  <c r="E132" i="3"/>
  <c r="O133" i="3"/>
  <c r="P132" i="3"/>
  <c r="E142" i="3"/>
  <c r="O143" i="3"/>
  <c r="D142" i="3"/>
  <c r="D152" i="3"/>
  <c r="E158" i="3"/>
  <c r="O159" i="3"/>
  <c r="P158" i="3"/>
  <c r="D158" i="3"/>
  <c r="D214" i="3"/>
  <c r="O222" i="3"/>
  <c r="P221" i="3"/>
  <c r="E221" i="3"/>
  <c r="C240" i="3"/>
  <c r="C247" i="3"/>
  <c r="F14" i="4"/>
  <c r="F54" i="4"/>
  <c r="D48" i="6"/>
  <c r="D47" i="6"/>
  <c r="D50" i="6"/>
  <c r="D51" i="6"/>
  <c r="D150" i="7"/>
  <c r="E150" i="7" s="1"/>
  <c r="D180" i="7"/>
  <c r="E180" i="7" s="1"/>
  <c r="D200" i="7"/>
  <c r="E200" i="7" s="1"/>
  <c r="D230" i="7"/>
  <c r="E230" i="7" s="1"/>
  <c r="C108" i="3"/>
  <c r="C128" i="3"/>
  <c r="C148" i="3"/>
  <c r="C67" i="4"/>
  <c r="D6" i="6"/>
  <c r="D242" i="7"/>
  <c r="E242" i="7" s="1"/>
  <c r="P168" i="3"/>
  <c r="E168" i="3"/>
  <c r="O169" i="3"/>
  <c r="P178" i="3"/>
  <c r="E178" i="3"/>
  <c r="O179" i="3"/>
  <c r="P188" i="3"/>
  <c r="E188" i="3"/>
  <c r="O189" i="3"/>
  <c r="P198" i="3"/>
  <c r="E198" i="3"/>
  <c r="O199" i="3"/>
  <c r="P208" i="3"/>
  <c r="E208" i="3"/>
  <c r="O209" i="3"/>
  <c r="P218" i="3"/>
  <c r="E218" i="3"/>
  <c r="O219" i="3"/>
  <c r="P228" i="3"/>
  <c r="E228" i="3"/>
  <c r="O229" i="3"/>
  <c r="P238" i="3"/>
  <c r="E238" i="3"/>
  <c r="O239" i="3"/>
  <c r="P248" i="3"/>
  <c r="E248" i="3"/>
  <c r="O249" i="3"/>
  <c r="D229" i="7"/>
  <c r="E229" i="7" s="1"/>
  <c r="E214" i="2"/>
  <c r="E224" i="2"/>
  <c r="D249" i="7"/>
  <c r="E249" i="7" s="1"/>
  <c r="E234" i="2"/>
  <c r="E244" i="2"/>
  <c r="E254" i="2"/>
  <c r="D168" i="3"/>
  <c r="D178" i="3"/>
  <c r="D188" i="3"/>
  <c r="D198" i="3"/>
  <c r="D208" i="3"/>
  <c r="D218" i="3"/>
  <c r="D228" i="3"/>
  <c r="D238" i="3"/>
  <c r="D248" i="3"/>
  <c r="D57" i="6"/>
  <c r="D136" i="7"/>
  <c r="E136" i="7" s="1"/>
  <c r="D146" i="7"/>
  <c r="E146" i="7" s="1"/>
  <c r="D186" i="7"/>
  <c r="E186" i="7" s="1"/>
  <c r="D196" i="7"/>
  <c r="E196" i="7" s="1"/>
  <c r="E181" i="2"/>
  <c r="E191" i="2"/>
  <c r="D216" i="7"/>
  <c r="E216" i="7" s="1"/>
  <c r="E201" i="2"/>
  <c r="E211" i="2"/>
  <c r="E221" i="2"/>
  <c r="E231" i="2"/>
  <c r="E241" i="2"/>
  <c r="E251" i="2"/>
  <c r="C162" i="3"/>
  <c r="C172" i="3"/>
  <c r="C182" i="3"/>
  <c r="C192" i="3"/>
  <c r="C202" i="3"/>
  <c r="C212" i="3"/>
  <c r="C222" i="3"/>
  <c r="C232" i="3"/>
  <c r="C242" i="3"/>
  <c r="C252" i="3"/>
  <c r="D13" i="6"/>
  <c r="D14" i="6"/>
  <c r="D8" i="6"/>
  <c r="D28" i="6"/>
  <c r="D43" i="6"/>
  <c r="D61" i="6"/>
  <c r="E5" i="6"/>
  <c r="E6" i="6" s="1"/>
  <c r="E7" i="6" s="1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D31" i="6"/>
  <c r="D58" i="6"/>
  <c r="D4" i="6"/>
  <c r="H4" i="6"/>
  <c r="H5" i="6" s="1"/>
  <c r="D23" i="6"/>
  <c r="D33" i="6"/>
  <c r="D45" i="6"/>
  <c r="D11" i="6"/>
  <c r="D21" i="6"/>
  <c r="D9" i="6"/>
  <c r="D19" i="6"/>
  <c r="D29" i="6"/>
  <c r="Q4" i="7"/>
  <c r="P4" i="7"/>
  <c r="H6" i="6" l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O4" i="7"/>
  <c r="Z4" i="7"/>
  <c r="K4" i="7"/>
  <c r="E128" i="3"/>
  <c r="O129" i="3"/>
  <c r="D128" i="3"/>
  <c r="P128" i="3"/>
  <c r="E60" i="3"/>
  <c r="P60" i="3"/>
  <c r="D60" i="3"/>
  <c r="O61" i="3"/>
  <c r="O84" i="3"/>
  <c r="D83" i="3"/>
  <c r="P83" i="3"/>
  <c r="E83" i="3"/>
  <c r="E130" i="3"/>
  <c r="O131" i="3"/>
  <c r="D130" i="3"/>
  <c r="P130" i="3"/>
  <c r="D120" i="7"/>
  <c r="E120" i="7" s="1"/>
  <c r="O184" i="3"/>
  <c r="P183" i="3"/>
  <c r="E183" i="3"/>
  <c r="D183" i="3"/>
  <c r="E150" i="3"/>
  <c r="O151" i="3"/>
  <c r="D150" i="3"/>
  <c r="P150" i="3"/>
  <c r="E104" i="3"/>
  <c r="O105" i="3"/>
  <c r="P104" i="3"/>
  <c r="D104" i="3"/>
  <c r="D23" i="5"/>
  <c r="F24" i="5" s="1"/>
  <c r="E24" i="5"/>
  <c r="P204" i="3"/>
  <c r="E204" i="3"/>
  <c r="O205" i="3"/>
  <c r="D204" i="3"/>
  <c r="O140" i="3"/>
  <c r="E139" i="3"/>
  <c r="P139" i="3"/>
  <c r="D139" i="3"/>
  <c r="E31" i="5"/>
  <c r="D30" i="5"/>
  <c r="F31" i="5" s="1"/>
  <c r="D13" i="3"/>
  <c r="E13" i="3"/>
  <c r="P13" i="3"/>
  <c r="O14" i="3"/>
  <c r="E19" i="5"/>
  <c r="D18" i="5"/>
  <c r="F19" i="5" s="1"/>
  <c r="O66" i="3"/>
  <c r="E65" i="3"/>
  <c r="D65" i="3"/>
  <c r="P65" i="3"/>
  <c r="O50" i="3"/>
  <c r="P49" i="3"/>
  <c r="D49" i="3"/>
  <c r="E49" i="3"/>
  <c r="O102" i="3"/>
  <c r="P101" i="3"/>
  <c r="E101" i="3"/>
  <c r="D101" i="3"/>
  <c r="O152" i="3"/>
  <c r="P151" i="3"/>
  <c r="E151" i="3"/>
  <c r="D151" i="3"/>
  <c r="O72" i="3"/>
  <c r="D71" i="3"/>
  <c r="P71" i="3"/>
  <c r="E71" i="3"/>
  <c r="D73" i="7"/>
  <c r="E73" i="7" s="1"/>
  <c r="D34" i="7"/>
  <c r="E34" i="7" s="1"/>
  <c r="D56" i="7"/>
  <c r="E56" i="7" s="1"/>
  <c r="O70" i="3"/>
  <c r="D69" i="3"/>
  <c r="P69" i="3"/>
  <c r="E69" i="3"/>
  <c r="D224" i="7"/>
  <c r="E224" i="7" s="1"/>
  <c r="E52" i="3"/>
  <c r="P52" i="3"/>
  <c r="O53" i="3"/>
  <c r="D52" i="3"/>
  <c r="D27" i="5"/>
  <c r="F28" i="5" s="1"/>
  <c r="E28" i="5"/>
  <c r="D7" i="5"/>
  <c r="F8" i="5" s="1"/>
  <c r="E8" i="5"/>
  <c r="D211" i="7"/>
  <c r="E211" i="7" s="1"/>
  <c r="D59" i="7"/>
  <c r="E59" i="7" s="1"/>
  <c r="E39" i="5"/>
  <c r="D38" i="5"/>
  <c r="F39" i="5" s="1"/>
  <c r="O88" i="3"/>
  <c r="P87" i="3"/>
  <c r="E87" i="3"/>
  <c r="D87" i="3"/>
  <c r="D58" i="7"/>
  <c r="E58" i="7" s="1"/>
  <c r="D101" i="7"/>
  <c r="E101" i="7" s="1"/>
  <c r="D52" i="5"/>
  <c r="F53" i="5" s="1"/>
  <c r="E53" i="5"/>
  <c r="L32" i="6"/>
  <c r="D83" i="7"/>
  <c r="E83" i="7" s="1"/>
  <c r="D119" i="7"/>
  <c r="E119" i="7" s="1"/>
  <c r="D100" i="7"/>
  <c r="E100" i="7" s="1"/>
  <c r="D109" i="7"/>
  <c r="E109" i="7" s="1"/>
  <c r="O8" i="3"/>
  <c r="E7" i="3"/>
  <c r="D7" i="3"/>
  <c r="P7" i="3"/>
  <c r="O130" i="3"/>
  <c r="P129" i="3"/>
  <c r="E129" i="3"/>
  <c r="D129" i="3"/>
  <c r="D87" i="7"/>
  <c r="E87" i="7" s="1"/>
  <c r="E45" i="5"/>
  <c r="D44" i="5"/>
  <c r="F45" i="5" s="1"/>
  <c r="D27" i="7"/>
  <c r="E27" i="7" s="1"/>
  <c r="O206" i="3"/>
  <c r="E205" i="3"/>
  <c r="D205" i="3"/>
  <c r="P205" i="3"/>
  <c r="O210" i="3"/>
  <c r="E209" i="3"/>
  <c r="D209" i="3"/>
  <c r="P209" i="3"/>
  <c r="D17" i="5"/>
  <c r="F18" i="5" s="1"/>
  <c r="E18" i="5"/>
  <c r="D26" i="7"/>
  <c r="E26" i="7" s="1"/>
  <c r="E39" i="3"/>
  <c r="P39" i="3"/>
  <c r="O40" i="3"/>
  <c r="D39" i="3"/>
  <c r="D105" i="7"/>
  <c r="E105" i="7" s="1"/>
  <c r="K62" i="6"/>
  <c r="K60" i="6"/>
  <c r="L60" i="6" s="1"/>
  <c r="K58" i="6"/>
  <c r="K56" i="6"/>
  <c r="K54" i="6"/>
  <c r="K52" i="6"/>
  <c r="K50" i="6"/>
  <c r="K48" i="6"/>
  <c r="K46" i="6"/>
  <c r="K44" i="6"/>
  <c r="L44" i="6" s="1"/>
  <c r="K42" i="6"/>
  <c r="K40" i="6"/>
  <c r="K38" i="6"/>
  <c r="K36" i="6"/>
  <c r="K34" i="6"/>
  <c r="L34" i="6" s="1"/>
  <c r="K32" i="6"/>
  <c r="K30" i="6"/>
  <c r="K63" i="6"/>
  <c r="K61" i="6"/>
  <c r="K59" i="6"/>
  <c r="L59" i="6" s="1"/>
  <c r="K57" i="6"/>
  <c r="L57" i="6" s="1"/>
  <c r="K55" i="6"/>
  <c r="L55" i="6" s="1"/>
  <c r="K53" i="6"/>
  <c r="K51" i="6"/>
  <c r="K49" i="6"/>
  <c r="L49" i="6" s="1"/>
  <c r="K47" i="6"/>
  <c r="K45" i="6"/>
  <c r="K43" i="6"/>
  <c r="L43" i="6" s="1"/>
  <c r="K41" i="6"/>
  <c r="L41" i="6" s="1"/>
  <c r="K39" i="6"/>
  <c r="K37" i="6"/>
  <c r="K35" i="6"/>
  <c r="K33" i="6"/>
  <c r="K31" i="6"/>
  <c r="L31" i="6" s="1"/>
  <c r="K28" i="6"/>
  <c r="L28" i="6" s="1"/>
  <c r="K23" i="6"/>
  <c r="K18" i="6"/>
  <c r="K13" i="6"/>
  <c r="K8" i="6"/>
  <c r="L8" i="6" s="1"/>
  <c r="K25" i="6"/>
  <c r="L25" i="6" s="1"/>
  <c r="K20" i="6"/>
  <c r="K15" i="6"/>
  <c r="K10" i="6"/>
  <c r="K16" i="6"/>
  <c r="K17" i="6"/>
  <c r="L17" i="6" s="1"/>
  <c r="K12" i="6"/>
  <c r="K11" i="6"/>
  <c r="K26" i="6"/>
  <c r="L26" i="6" s="1"/>
  <c r="K24" i="6"/>
  <c r="L24" i="6" s="1"/>
  <c r="K14" i="6"/>
  <c r="N1" i="6"/>
  <c r="K27" i="6"/>
  <c r="L27" i="6" s="1"/>
  <c r="K6" i="6"/>
  <c r="K22" i="6"/>
  <c r="K19" i="6"/>
  <c r="K29" i="6"/>
  <c r="K9" i="6"/>
  <c r="K21" i="6"/>
  <c r="K7" i="6"/>
  <c r="P194" i="3"/>
  <c r="E194" i="3"/>
  <c r="O195" i="3"/>
  <c r="D194" i="3"/>
  <c r="E96" i="3"/>
  <c r="O97" i="3"/>
  <c r="P96" i="3"/>
  <c r="D96" i="3"/>
  <c r="E56" i="3"/>
  <c r="O57" i="3"/>
  <c r="P56" i="3"/>
  <c r="D56" i="3"/>
  <c r="P162" i="3"/>
  <c r="E162" i="3"/>
  <c r="O163" i="3"/>
  <c r="D162" i="3"/>
  <c r="E108" i="3"/>
  <c r="O109" i="3"/>
  <c r="P108" i="3"/>
  <c r="D108" i="3"/>
  <c r="O37" i="3"/>
  <c r="E36" i="3"/>
  <c r="D36" i="3"/>
  <c r="P36" i="3"/>
  <c r="D171" i="7"/>
  <c r="E171" i="7" s="1"/>
  <c r="P196" i="3"/>
  <c r="E196" i="3"/>
  <c r="O197" i="3"/>
  <c r="D196" i="3"/>
  <c r="E156" i="3"/>
  <c r="O157" i="3"/>
  <c r="P156" i="3"/>
  <c r="D156" i="3"/>
  <c r="E24" i="7"/>
  <c r="D114" i="7"/>
  <c r="E114" i="7" s="1"/>
  <c r="D54" i="7"/>
  <c r="E54" i="7" s="1"/>
  <c r="D6" i="4"/>
  <c r="D152" i="7"/>
  <c r="E152" i="7" s="1"/>
  <c r="D107" i="7"/>
  <c r="E107" i="7" s="1"/>
  <c r="O234" i="3"/>
  <c r="P233" i="3"/>
  <c r="E233" i="3"/>
  <c r="D233" i="3"/>
  <c r="D148" i="7"/>
  <c r="E148" i="7" s="1"/>
  <c r="D235" i="7"/>
  <c r="E235" i="7" s="1"/>
  <c r="D201" i="7"/>
  <c r="E201" i="7" s="1"/>
  <c r="O134" i="3"/>
  <c r="D133" i="3"/>
  <c r="P133" i="3"/>
  <c r="E133" i="3"/>
  <c r="D57" i="5"/>
  <c r="F58" i="5" s="1"/>
  <c r="E58" i="5"/>
  <c r="O244" i="3"/>
  <c r="P243" i="3"/>
  <c r="E243" i="3"/>
  <c r="D243" i="3"/>
  <c r="D168" i="7"/>
  <c r="E168" i="7" s="1"/>
  <c r="D122" i="7"/>
  <c r="E122" i="7" s="1"/>
  <c r="D44" i="3"/>
  <c r="P44" i="3"/>
  <c r="E44" i="3"/>
  <c r="O45" i="3"/>
  <c r="D42" i="7"/>
  <c r="E42" i="7" s="1"/>
  <c r="D157" i="7"/>
  <c r="E157" i="7" s="1"/>
  <c r="E13" i="5"/>
  <c r="D12" i="5"/>
  <c r="F13" i="5" s="1"/>
  <c r="L18" i="6"/>
  <c r="E154" i="3"/>
  <c r="O155" i="3"/>
  <c r="P154" i="3"/>
  <c r="D154" i="3"/>
  <c r="P252" i="3"/>
  <c r="E252" i="3"/>
  <c r="O253" i="3"/>
  <c r="D252" i="3"/>
  <c r="D190" i="7"/>
  <c r="E190" i="7" s="1"/>
  <c r="D170" i="7"/>
  <c r="E170" i="7" s="1"/>
  <c r="O248" i="3"/>
  <c r="P247" i="3"/>
  <c r="D247" i="3"/>
  <c r="E247" i="3"/>
  <c r="D11" i="3"/>
  <c r="O12" i="3"/>
  <c r="E11" i="3"/>
  <c r="P11" i="3"/>
  <c r="E30" i="5"/>
  <c r="D29" i="5"/>
  <c r="F30" i="5" s="1"/>
  <c r="D214" i="7"/>
  <c r="E214" i="7" s="1"/>
  <c r="D174" i="7"/>
  <c r="E174" i="7" s="1"/>
  <c r="O178" i="3"/>
  <c r="E177" i="3"/>
  <c r="D177" i="3"/>
  <c r="P177" i="3"/>
  <c r="O104" i="3"/>
  <c r="E103" i="3"/>
  <c r="D103" i="3"/>
  <c r="P103" i="3"/>
  <c r="O216" i="3"/>
  <c r="E215" i="3"/>
  <c r="D215" i="3"/>
  <c r="P215" i="3"/>
  <c r="D149" i="7"/>
  <c r="E149" i="7" s="1"/>
  <c r="O54" i="3"/>
  <c r="D53" i="3"/>
  <c r="P53" i="3"/>
  <c r="E53" i="3"/>
  <c r="D51" i="7"/>
  <c r="E51" i="7" s="1"/>
  <c r="E6" i="5"/>
  <c r="D5" i="5"/>
  <c r="F6" i="5" s="1"/>
  <c r="E126" i="3"/>
  <c r="O127" i="3"/>
  <c r="P126" i="3"/>
  <c r="D126" i="3"/>
  <c r="O114" i="3"/>
  <c r="D113" i="3"/>
  <c r="P113" i="3"/>
  <c r="E113" i="3"/>
  <c r="D74" i="7"/>
  <c r="E74" i="7" s="1"/>
  <c r="O246" i="3"/>
  <c r="E245" i="3"/>
  <c r="D245" i="3"/>
  <c r="P245" i="3"/>
  <c r="O128" i="3"/>
  <c r="E127" i="3"/>
  <c r="D127" i="3"/>
  <c r="P127" i="3"/>
  <c r="D251" i="7"/>
  <c r="E251" i="7" s="1"/>
  <c r="O214" i="3"/>
  <c r="P213" i="3"/>
  <c r="E213" i="3"/>
  <c r="D213" i="3"/>
  <c r="P176" i="3"/>
  <c r="E176" i="3"/>
  <c r="O177" i="3"/>
  <c r="D176" i="3"/>
  <c r="D151" i="7"/>
  <c r="E151" i="7" s="1"/>
  <c r="D62" i="7"/>
  <c r="E62" i="7" s="1"/>
  <c r="D222" i="7"/>
  <c r="E222" i="7" s="1"/>
  <c r="E27" i="3"/>
  <c r="O28" i="3"/>
  <c r="P27" i="3"/>
  <c r="D27" i="3"/>
  <c r="L12" i="6"/>
  <c r="D37" i="7"/>
  <c r="E37" i="7" s="1"/>
  <c r="L48" i="6"/>
  <c r="E72" i="3"/>
  <c r="P72" i="3"/>
  <c r="O73" i="3"/>
  <c r="D72" i="3"/>
  <c r="D50" i="7"/>
  <c r="E50" i="7" s="1"/>
  <c r="O230" i="3"/>
  <c r="E229" i="3"/>
  <c r="D229" i="3"/>
  <c r="P229" i="3"/>
  <c r="D169" i="7"/>
  <c r="E169" i="7" s="1"/>
  <c r="E62" i="5"/>
  <c r="D61" i="5"/>
  <c r="F62" i="5" s="1"/>
  <c r="O236" i="3"/>
  <c r="E235" i="3"/>
  <c r="D235" i="3"/>
  <c r="P235" i="3"/>
  <c r="D34" i="5"/>
  <c r="F35" i="5" s="1"/>
  <c r="E35" i="5"/>
  <c r="O122" i="3"/>
  <c r="P121" i="3"/>
  <c r="E121" i="3"/>
  <c r="D121" i="3"/>
  <c r="D147" i="7"/>
  <c r="E147" i="7" s="1"/>
  <c r="D63" i="7"/>
  <c r="E63" i="7" s="1"/>
  <c r="O198" i="3"/>
  <c r="P197" i="3"/>
  <c r="D197" i="3"/>
  <c r="E197" i="3"/>
  <c r="L51" i="6"/>
  <c r="D223" i="7"/>
  <c r="E223" i="7" s="1"/>
  <c r="L58" i="6"/>
  <c r="O29" i="3"/>
  <c r="P28" i="3"/>
  <c r="D28" i="3"/>
  <c r="E28" i="3"/>
  <c r="D227" i="7"/>
  <c r="E227" i="7" s="1"/>
  <c r="O138" i="3"/>
  <c r="D137" i="3"/>
  <c r="E137" i="3"/>
  <c r="P137" i="3"/>
  <c r="E37" i="5"/>
  <c r="D36" i="5"/>
  <c r="F37" i="5" s="1"/>
  <c r="D36" i="7"/>
  <c r="E36" i="7" s="1"/>
  <c r="E29" i="5"/>
  <c r="D28" i="5"/>
  <c r="F29" i="5" s="1"/>
  <c r="L38" i="6"/>
  <c r="E124" i="3"/>
  <c r="O125" i="3"/>
  <c r="P124" i="3"/>
  <c r="D124" i="3"/>
  <c r="O74" i="3"/>
  <c r="D73" i="3"/>
  <c r="E73" i="3"/>
  <c r="P73" i="3"/>
  <c r="L52" i="6"/>
  <c r="D32" i="7"/>
  <c r="E32" i="7" s="1"/>
  <c r="D195" i="7"/>
  <c r="E195" i="7" s="1"/>
  <c r="D145" i="7"/>
  <c r="E145" i="7" s="1"/>
  <c r="D198" i="7"/>
  <c r="E198" i="7" s="1"/>
  <c r="D231" i="7"/>
  <c r="E231" i="7" s="1"/>
  <c r="D194" i="7"/>
  <c r="E194" i="7" s="1"/>
  <c r="D113" i="7"/>
  <c r="E113" i="7" s="1"/>
  <c r="D31" i="7"/>
  <c r="E31" i="7" s="1"/>
  <c r="D172" i="7"/>
  <c r="E172" i="7" s="1"/>
  <c r="O58" i="3"/>
  <c r="P57" i="3"/>
  <c r="E57" i="3"/>
  <c r="D57" i="3"/>
  <c r="D67" i="7"/>
  <c r="E67" i="7" s="1"/>
  <c r="D90" i="7"/>
  <c r="E90" i="7" s="1"/>
  <c r="D247" i="7"/>
  <c r="E247" i="7" s="1"/>
  <c r="O18" i="3"/>
  <c r="P17" i="3"/>
  <c r="E17" i="3"/>
  <c r="D17" i="3"/>
  <c r="D253" i="7"/>
  <c r="E253" i="7" s="1"/>
  <c r="E47" i="5"/>
  <c r="D46" i="5"/>
  <c r="F47" i="5" s="1"/>
  <c r="O62" i="3"/>
  <c r="D61" i="3"/>
  <c r="P61" i="3"/>
  <c r="E61" i="3"/>
  <c r="E22" i="3"/>
  <c r="D22" i="3"/>
  <c r="O23" i="3"/>
  <c r="P22" i="3"/>
  <c r="D33" i="7"/>
  <c r="E33" i="7" s="1"/>
  <c r="D215" i="7"/>
  <c r="E215" i="7" s="1"/>
  <c r="E52" i="5"/>
  <c r="D51" i="5"/>
  <c r="F52" i="5" s="1"/>
  <c r="D58" i="5"/>
  <c r="F59" i="5" s="1"/>
  <c r="E59" i="5"/>
  <c r="O43" i="3"/>
  <c r="D42" i="3"/>
  <c r="P42" i="3"/>
  <c r="E42" i="3"/>
  <c r="D155" i="7"/>
  <c r="E155" i="7" s="1"/>
  <c r="E37" i="3"/>
  <c r="O38" i="3"/>
  <c r="D37" i="3"/>
  <c r="P37" i="3"/>
  <c r="E29" i="3"/>
  <c r="P29" i="3"/>
  <c r="O30" i="3"/>
  <c r="D29" i="3"/>
  <c r="O180" i="3"/>
  <c r="E179" i="3"/>
  <c r="D179" i="3"/>
  <c r="P179" i="3"/>
  <c r="D57" i="7"/>
  <c r="E57" i="7" s="1"/>
  <c r="P172" i="3"/>
  <c r="E172" i="3"/>
  <c r="O173" i="3"/>
  <c r="D172" i="3"/>
  <c r="D232" i="7"/>
  <c r="E232" i="7" s="1"/>
  <c r="P240" i="3"/>
  <c r="E240" i="3"/>
  <c r="O241" i="3"/>
  <c r="D240" i="3"/>
  <c r="D78" i="7"/>
  <c r="E78" i="7" s="1"/>
  <c r="L29" i="6"/>
  <c r="P170" i="3"/>
  <c r="E170" i="3"/>
  <c r="O171" i="3"/>
  <c r="D170" i="3"/>
  <c r="E64" i="3"/>
  <c r="O65" i="3"/>
  <c r="P64" i="3"/>
  <c r="D64" i="3"/>
  <c r="D233" i="7"/>
  <c r="E233" i="7" s="1"/>
  <c r="P232" i="3"/>
  <c r="E232" i="3"/>
  <c r="O233" i="3"/>
  <c r="D232" i="3"/>
  <c r="D140" i="7"/>
  <c r="E140" i="7" s="1"/>
  <c r="O142" i="3"/>
  <c r="P141" i="3"/>
  <c r="E141" i="3"/>
  <c r="D141" i="3"/>
  <c r="O190" i="3"/>
  <c r="E189" i="3"/>
  <c r="D189" i="3"/>
  <c r="P189" i="3"/>
  <c r="E90" i="3"/>
  <c r="P90" i="3"/>
  <c r="D90" i="3"/>
  <c r="O91" i="3"/>
  <c r="D48" i="7"/>
  <c r="E48" i="7" s="1"/>
  <c r="D248" i="7"/>
  <c r="E248" i="7" s="1"/>
  <c r="E146" i="3"/>
  <c r="O147" i="3"/>
  <c r="P146" i="3"/>
  <c r="D146" i="3"/>
  <c r="D142" i="7"/>
  <c r="E142" i="7" s="1"/>
  <c r="D91" i="7"/>
  <c r="E91" i="7" s="1"/>
  <c r="D71" i="7"/>
  <c r="E71" i="7" s="1"/>
  <c r="P23" i="3"/>
  <c r="O24" i="3"/>
  <c r="E23" i="3"/>
  <c r="D23" i="3"/>
  <c r="D104" i="7"/>
  <c r="E104" i="7" s="1"/>
  <c r="E46" i="3"/>
  <c r="D46" i="3"/>
  <c r="O47" i="3"/>
  <c r="P46" i="3"/>
  <c r="E26" i="5"/>
  <c r="D25" i="5"/>
  <c r="F26" i="5" s="1"/>
  <c r="P226" i="3"/>
  <c r="E226" i="3"/>
  <c r="O227" i="3"/>
  <c r="D226" i="3"/>
  <c r="O160" i="3"/>
  <c r="E159" i="3"/>
  <c r="D159" i="3"/>
  <c r="P159" i="3"/>
  <c r="O174" i="3"/>
  <c r="E173" i="3"/>
  <c r="P173" i="3"/>
  <c r="D173" i="3"/>
  <c r="D106" i="7"/>
  <c r="E106" i="7" s="1"/>
  <c r="P48" i="3"/>
  <c r="E48" i="3"/>
  <c r="D48" i="3"/>
  <c r="O49" i="3"/>
  <c r="L33" i="6"/>
  <c r="P190" i="3"/>
  <c r="E190" i="3"/>
  <c r="O191" i="3"/>
  <c r="D190" i="3"/>
  <c r="E27" i="5"/>
  <c r="D26" i="5"/>
  <c r="F27" i="5" s="1"/>
  <c r="E42" i="5"/>
  <c r="D41" i="5"/>
  <c r="F42" i="5" s="1"/>
  <c r="O112" i="3"/>
  <c r="P111" i="3"/>
  <c r="E111" i="3"/>
  <c r="D111" i="3"/>
  <c r="O148" i="3"/>
  <c r="E147" i="3"/>
  <c r="D147" i="3"/>
  <c r="P147" i="3"/>
  <c r="L61" i="6"/>
  <c r="O76" i="3"/>
  <c r="E75" i="3"/>
  <c r="D75" i="3"/>
  <c r="P75" i="3"/>
  <c r="D47" i="3"/>
  <c r="O48" i="3"/>
  <c r="P47" i="3"/>
  <c r="E47" i="3"/>
  <c r="E7" i="5"/>
  <c r="D6" i="5"/>
  <c r="F7" i="5" s="1"/>
  <c r="D139" i="7"/>
  <c r="E139" i="7" s="1"/>
  <c r="O108" i="3"/>
  <c r="E107" i="3"/>
  <c r="D107" i="3"/>
  <c r="P107" i="3"/>
  <c r="E22" i="5"/>
  <c r="D21" i="5"/>
  <c r="F22" i="5" s="1"/>
  <c r="L14" i="6"/>
  <c r="O172" i="3"/>
  <c r="P171" i="3"/>
  <c r="E171" i="3"/>
  <c r="D171" i="3"/>
  <c r="D70" i="7"/>
  <c r="E70" i="7" s="1"/>
  <c r="D179" i="7"/>
  <c r="E179" i="7" s="1"/>
  <c r="E144" i="3"/>
  <c r="O145" i="3"/>
  <c r="P144" i="3"/>
  <c r="D144" i="3"/>
  <c r="D77" i="7"/>
  <c r="E77" i="7" s="1"/>
  <c r="D46" i="7"/>
  <c r="E46" i="7" s="1"/>
  <c r="O11" i="3"/>
  <c r="E10" i="3"/>
  <c r="D10" i="3"/>
  <c r="P10" i="3"/>
  <c r="O86" i="3"/>
  <c r="E85" i="3"/>
  <c r="D85" i="3"/>
  <c r="P85" i="3"/>
  <c r="L36" i="6"/>
  <c r="P12" i="3"/>
  <c r="O13" i="3"/>
  <c r="D12" i="3"/>
  <c r="E12" i="3"/>
  <c r="D197" i="7"/>
  <c r="E197" i="7" s="1"/>
  <c r="P182" i="3"/>
  <c r="E182" i="3"/>
  <c r="O183" i="3"/>
  <c r="D182" i="3"/>
  <c r="E148" i="3"/>
  <c r="O149" i="3"/>
  <c r="D148" i="3"/>
  <c r="P148" i="3"/>
  <c r="O124" i="3"/>
  <c r="P123" i="3"/>
  <c r="D123" i="3"/>
  <c r="E123" i="3"/>
  <c r="E94" i="3"/>
  <c r="O95" i="3"/>
  <c r="D94" i="3"/>
  <c r="P94" i="3"/>
  <c r="D241" i="7"/>
  <c r="E241" i="7" s="1"/>
  <c r="D128" i="7"/>
  <c r="E128" i="7" s="1"/>
  <c r="D88" i="7"/>
  <c r="E88" i="7" s="1"/>
  <c r="E40" i="5"/>
  <c r="D39" i="5"/>
  <c r="F40" i="5" s="1"/>
  <c r="D221" i="7"/>
  <c r="E221" i="7" s="1"/>
  <c r="D181" i="7"/>
  <c r="E181" i="7" s="1"/>
  <c r="O220" i="3"/>
  <c r="E219" i="3"/>
  <c r="D219" i="3"/>
  <c r="P219" i="3"/>
  <c r="D167" i="7"/>
  <c r="E167" i="7" s="1"/>
  <c r="D81" i="7"/>
  <c r="E81" i="7" s="1"/>
  <c r="D61" i="7"/>
  <c r="E61" i="7" s="1"/>
  <c r="L13" i="6"/>
  <c r="D219" i="7"/>
  <c r="E219" i="7" s="1"/>
  <c r="D220" i="7"/>
  <c r="E220" i="7" s="1"/>
  <c r="O146" i="3"/>
  <c r="D145" i="3"/>
  <c r="P145" i="3"/>
  <c r="E145" i="3"/>
  <c r="E88" i="3"/>
  <c r="P88" i="3"/>
  <c r="O89" i="3"/>
  <c r="D88" i="3"/>
  <c r="D76" i="7"/>
  <c r="E76" i="7" s="1"/>
  <c r="D238" i="7"/>
  <c r="E238" i="7" s="1"/>
  <c r="D112" i="7"/>
  <c r="E112" i="7" s="1"/>
  <c r="O35" i="3"/>
  <c r="D34" i="3"/>
  <c r="P34" i="3"/>
  <c r="E34" i="3"/>
  <c r="P222" i="3"/>
  <c r="E222" i="3"/>
  <c r="O223" i="3"/>
  <c r="D222" i="3"/>
  <c r="D156" i="7"/>
  <c r="E156" i="7" s="1"/>
  <c r="D209" i="7"/>
  <c r="E209" i="7" s="1"/>
  <c r="D240" i="7"/>
  <c r="E240" i="7" s="1"/>
  <c r="D207" i="7"/>
  <c r="E207" i="7" s="1"/>
  <c r="D164" i="7"/>
  <c r="E164" i="7" s="1"/>
  <c r="D108" i="7"/>
  <c r="E108" i="7" s="1"/>
  <c r="E50" i="3"/>
  <c r="P50" i="3"/>
  <c r="D50" i="3"/>
  <c r="O51" i="3"/>
  <c r="L19" i="6"/>
  <c r="D163" i="7"/>
  <c r="E163" i="7" s="1"/>
  <c r="O186" i="3"/>
  <c r="E185" i="3"/>
  <c r="D185" i="3"/>
  <c r="P185" i="3"/>
  <c r="D121" i="7"/>
  <c r="E121" i="7" s="1"/>
  <c r="O90" i="3"/>
  <c r="E89" i="3"/>
  <c r="D89" i="3"/>
  <c r="P89" i="3"/>
  <c r="D44" i="7"/>
  <c r="E44" i="7" s="1"/>
  <c r="E140" i="3"/>
  <c r="O141" i="3"/>
  <c r="P140" i="3"/>
  <c r="D140" i="3"/>
  <c r="E84" i="3"/>
  <c r="O85" i="3"/>
  <c r="P84" i="3"/>
  <c r="D84" i="3"/>
  <c r="D244" i="7"/>
  <c r="E244" i="7" s="1"/>
  <c r="D177" i="7"/>
  <c r="E177" i="7" s="1"/>
  <c r="D127" i="7"/>
  <c r="E127" i="7" s="1"/>
  <c r="D228" i="7"/>
  <c r="E228" i="7" s="1"/>
  <c r="D191" i="7"/>
  <c r="E191" i="7" s="1"/>
  <c r="D141" i="7"/>
  <c r="E141" i="7" s="1"/>
  <c r="E134" i="3"/>
  <c r="O135" i="3"/>
  <c r="P134" i="3"/>
  <c r="D134" i="3"/>
  <c r="D212" i="7"/>
  <c r="E212" i="7" s="1"/>
  <c r="O166" i="3"/>
  <c r="E165" i="3"/>
  <c r="D165" i="3"/>
  <c r="P165" i="3"/>
  <c r="E78" i="3"/>
  <c r="P78" i="3"/>
  <c r="O79" i="3"/>
  <c r="D78" i="3"/>
  <c r="D47" i="5"/>
  <c r="F48" i="5" s="1"/>
  <c r="E48" i="5"/>
  <c r="D161" i="7"/>
  <c r="E161" i="7" s="1"/>
  <c r="L63" i="6"/>
  <c r="D33" i="5"/>
  <c r="F34" i="5" s="1"/>
  <c r="E34" i="5"/>
  <c r="D208" i="7"/>
  <c r="E208" i="7" s="1"/>
  <c r="E57" i="5"/>
  <c r="D56" i="5"/>
  <c r="F57" i="5" s="1"/>
  <c r="E25" i="5"/>
  <c r="D24" i="5"/>
  <c r="F25" i="5" s="1"/>
  <c r="P186" i="3"/>
  <c r="E186" i="3"/>
  <c r="O187" i="3"/>
  <c r="D186" i="3"/>
  <c r="D165" i="7"/>
  <c r="E165" i="7" s="1"/>
  <c r="D80" i="7"/>
  <c r="E80" i="7" s="1"/>
  <c r="D21" i="3"/>
  <c r="O22" i="3"/>
  <c r="E21" i="3"/>
  <c r="P21" i="3"/>
  <c r="E17" i="5"/>
  <c r="D16" i="5"/>
  <c r="F17" i="5" s="1"/>
  <c r="D93" i="7"/>
  <c r="E93" i="7" s="1"/>
  <c r="L46" i="6"/>
  <c r="D53" i="7"/>
  <c r="E53" i="7" s="1"/>
  <c r="D125" i="7"/>
  <c r="E125" i="7" s="1"/>
  <c r="D9" i="3"/>
  <c r="O10" i="3"/>
  <c r="P9" i="3"/>
  <c r="E9" i="3"/>
  <c r="H45" i="3"/>
  <c r="M22" i="3"/>
  <c r="L15" i="3"/>
  <c r="L22" i="3"/>
  <c r="L24" i="3"/>
  <c r="M14" i="3"/>
  <c r="L7" i="3"/>
  <c r="M17" i="3"/>
  <c r="L14" i="3"/>
  <c r="M11" i="3"/>
  <c r="M5" i="3"/>
  <c r="M20" i="3"/>
  <c r="L17" i="3"/>
  <c r="L11" i="3"/>
  <c r="M8" i="3"/>
  <c r="L5" i="3"/>
  <c r="M19" i="3"/>
  <c r="L16" i="3"/>
  <c r="L13" i="3"/>
  <c r="M10" i="3"/>
  <c r="H48" i="3"/>
  <c r="M24" i="3"/>
  <c r="M21" i="3"/>
  <c r="M6" i="3"/>
  <c r="L21" i="3"/>
  <c r="M18" i="3"/>
  <c r="M13" i="3"/>
  <c r="L8" i="3"/>
  <c r="L6" i="3"/>
  <c r="M23" i="3"/>
  <c r="L18" i="3"/>
  <c r="M15" i="3"/>
  <c r="H47" i="3"/>
  <c r="L23" i="3"/>
  <c r="L20" i="3"/>
  <c r="E5" i="3"/>
  <c r="M12" i="3"/>
  <c r="L10" i="3"/>
  <c r="D5" i="3"/>
  <c r="L12" i="3"/>
  <c r="H49" i="3"/>
  <c r="M9" i="3"/>
  <c r="M16" i="3"/>
  <c r="O6" i="3"/>
  <c r="H46" i="3"/>
  <c r="L19" i="3"/>
  <c r="L9" i="3"/>
  <c r="M7" i="3"/>
  <c r="D162" i="7"/>
  <c r="E162" i="7" s="1"/>
  <c r="L9" i="6"/>
  <c r="D103" i="7"/>
  <c r="E103" i="7" s="1"/>
  <c r="D55" i="7"/>
  <c r="E55" i="7" s="1"/>
  <c r="D47" i="7"/>
  <c r="E47" i="7" s="1"/>
  <c r="D89" i="7"/>
  <c r="E89" i="7" s="1"/>
  <c r="E36" i="5"/>
  <c r="D35" i="5"/>
  <c r="F36" i="5" s="1"/>
  <c r="D131" i="7"/>
  <c r="E131" i="7" s="1"/>
  <c r="E86" i="3"/>
  <c r="O87" i="3"/>
  <c r="D86" i="3"/>
  <c r="P86" i="3"/>
  <c r="E56" i="5"/>
  <c r="D55" i="5"/>
  <c r="F56" i="5" s="1"/>
  <c r="D176" i="7"/>
  <c r="E176" i="7" s="1"/>
  <c r="E76" i="3"/>
  <c r="O77" i="3"/>
  <c r="P76" i="3"/>
  <c r="D76" i="3"/>
  <c r="L45" i="6"/>
  <c r="O200" i="3"/>
  <c r="E199" i="3"/>
  <c r="D199" i="3"/>
  <c r="P199" i="3"/>
  <c r="P166" i="3"/>
  <c r="E166" i="3"/>
  <c r="O167" i="3"/>
  <c r="D166" i="3"/>
  <c r="E116" i="3"/>
  <c r="O117" i="3"/>
  <c r="P116" i="3"/>
  <c r="D116" i="3"/>
  <c r="O80" i="3"/>
  <c r="P79" i="3"/>
  <c r="E79" i="3"/>
  <c r="D79" i="3"/>
  <c r="D183" i="7"/>
  <c r="E183" i="7" s="1"/>
  <c r="D144" i="7"/>
  <c r="E144" i="7" s="1"/>
  <c r="D96" i="7"/>
  <c r="E96" i="7" s="1"/>
  <c r="L47" i="6"/>
  <c r="E136" i="3"/>
  <c r="O137" i="3"/>
  <c r="P136" i="3"/>
  <c r="D136" i="3"/>
  <c r="D102" i="7"/>
  <c r="E102" i="7" s="1"/>
  <c r="D82" i="7"/>
  <c r="E82" i="7" s="1"/>
  <c r="D52" i="7"/>
  <c r="E52" i="7" s="1"/>
  <c r="D45" i="7"/>
  <c r="E45" i="7" s="1"/>
  <c r="D60" i="7"/>
  <c r="E60" i="7" s="1"/>
  <c r="D129" i="7"/>
  <c r="E129" i="7" s="1"/>
  <c r="L56" i="6"/>
  <c r="O158" i="3"/>
  <c r="P157" i="3"/>
  <c r="E157" i="3"/>
  <c r="D157" i="3"/>
  <c r="O106" i="3"/>
  <c r="D105" i="3"/>
  <c r="E105" i="3"/>
  <c r="P105" i="3"/>
  <c r="D204" i="7"/>
  <c r="E204" i="7" s="1"/>
  <c r="L16" i="6"/>
  <c r="O56" i="3"/>
  <c r="E55" i="3"/>
  <c r="D55" i="3"/>
  <c r="P55" i="3"/>
  <c r="D65" i="7"/>
  <c r="E65" i="7" s="1"/>
  <c r="D25" i="7"/>
  <c r="E25" i="7" s="1"/>
  <c r="O39" i="3"/>
  <c r="P38" i="3"/>
  <c r="E38" i="3"/>
  <c r="D38" i="3"/>
  <c r="E255" i="3"/>
  <c r="D255" i="3"/>
  <c r="P255" i="3"/>
  <c r="E61" i="5"/>
  <c r="D60" i="5"/>
  <c r="F61" i="5" s="1"/>
  <c r="L21" i="6"/>
  <c r="P236" i="3"/>
  <c r="E236" i="3"/>
  <c r="O237" i="3"/>
  <c r="D236" i="3"/>
  <c r="D189" i="7"/>
  <c r="E189" i="7" s="1"/>
  <c r="F67" i="4"/>
  <c r="F68" i="4"/>
  <c r="D123" i="7"/>
  <c r="E123" i="7" s="1"/>
  <c r="D69" i="7"/>
  <c r="E69" i="7" s="1"/>
  <c r="E12" i="5"/>
  <c r="D11" i="5"/>
  <c r="F12" i="5" s="1"/>
  <c r="E114" i="3"/>
  <c r="O115" i="3"/>
  <c r="P114" i="3"/>
  <c r="D114" i="3"/>
  <c r="E14" i="5"/>
  <c r="D13" i="5"/>
  <c r="F14" i="5" s="1"/>
  <c r="L10" i="6"/>
  <c r="D246" i="7"/>
  <c r="E246" i="7" s="1"/>
  <c r="D166" i="7"/>
  <c r="E166" i="7" s="1"/>
  <c r="P242" i="3"/>
  <c r="E242" i="3"/>
  <c r="O243" i="3"/>
  <c r="D242" i="3"/>
  <c r="D226" i="7"/>
  <c r="E226" i="7" s="1"/>
  <c r="D126" i="7"/>
  <c r="E126" i="7" s="1"/>
  <c r="P212" i="3"/>
  <c r="E212" i="3"/>
  <c r="O213" i="3"/>
  <c r="D212" i="3"/>
  <c r="D160" i="7"/>
  <c r="E160" i="7" s="1"/>
  <c r="D178" i="7"/>
  <c r="E178" i="7" s="1"/>
  <c r="E80" i="3"/>
  <c r="P80" i="3"/>
  <c r="D80" i="3"/>
  <c r="O81" i="3"/>
  <c r="E50" i="5"/>
  <c r="D49" i="5"/>
  <c r="F50" i="5" s="1"/>
  <c r="P246" i="3"/>
  <c r="E246" i="3"/>
  <c r="O247" i="3"/>
  <c r="D246" i="3"/>
  <c r="D203" i="7"/>
  <c r="E203" i="7" s="1"/>
  <c r="O64" i="3"/>
  <c r="D63" i="3"/>
  <c r="P63" i="3"/>
  <c r="E63" i="3"/>
  <c r="E23" i="5"/>
  <c r="D22" i="5"/>
  <c r="F23" i="5" s="1"/>
  <c r="L5" i="6"/>
  <c r="P202" i="3"/>
  <c r="E202" i="3"/>
  <c r="O203" i="3"/>
  <c r="D202" i="3"/>
  <c r="D245" i="7"/>
  <c r="E245" i="7" s="1"/>
  <c r="D153" i="7"/>
  <c r="E153" i="7" s="1"/>
  <c r="D98" i="7"/>
  <c r="E98" i="7" s="1"/>
  <c r="D68" i="7"/>
  <c r="E68" i="7" s="1"/>
  <c r="E20" i="5"/>
  <c r="D19" i="5"/>
  <c r="F20" i="5" s="1"/>
  <c r="D225" i="7"/>
  <c r="E225" i="7" s="1"/>
  <c r="D188" i="7"/>
  <c r="E188" i="7" s="1"/>
  <c r="P220" i="3"/>
  <c r="E220" i="3"/>
  <c r="O221" i="3"/>
  <c r="D220" i="3"/>
  <c r="O94" i="3"/>
  <c r="D93" i="3"/>
  <c r="P93" i="3"/>
  <c r="E93" i="3"/>
  <c r="L62" i="6"/>
  <c r="E43" i="5"/>
  <c r="D42" i="5"/>
  <c r="F43" i="5" s="1"/>
  <c r="L22" i="6"/>
  <c r="O254" i="3"/>
  <c r="D253" i="3"/>
  <c r="E253" i="3"/>
  <c r="P253" i="3"/>
  <c r="D94" i="7"/>
  <c r="E94" i="7" s="1"/>
  <c r="D45" i="5"/>
  <c r="F46" i="5" s="1"/>
  <c r="E46" i="5"/>
  <c r="D217" i="7"/>
  <c r="E217" i="7" s="1"/>
  <c r="D159" i="7"/>
  <c r="E159" i="7" s="1"/>
  <c r="E106" i="3"/>
  <c r="O107" i="3"/>
  <c r="P106" i="3"/>
  <c r="D106" i="3"/>
  <c r="D184" i="7"/>
  <c r="E184" i="7" s="1"/>
  <c r="D134" i="7"/>
  <c r="E134" i="7" s="1"/>
  <c r="E68" i="3"/>
  <c r="P68" i="3"/>
  <c r="D68" i="3"/>
  <c r="O69" i="3"/>
  <c r="D66" i="7"/>
  <c r="E66" i="7" s="1"/>
  <c r="D154" i="7"/>
  <c r="E154" i="7" s="1"/>
  <c r="E54" i="5"/>
  <c r="D53" i="5"/>
  <c r="F54" i="5" s="1"/>
  <c r="O170" i="3"/>
  <c r="E169" i="3"/>
  <c r="D169" i="3"/>
  <c r="P169" i="3"/>
  <c r="E31" i="3"/>
  <c r="P31" i="3"/>
  <c r="D31" i="3"/>
  <c r="O32" i="3"/>
  <c r="D75" i="7"/>
  <c r="E75" i="7" s="1"/>
  <c r="D43" i="7"/>
  <c r="E43" i="7" s="1"/>
  <c r="O120" i="3"/>
  <c r="E119" i="3"/>
  <c r="P119" i="3"/>
  <c r="D119" i="3"/>
  <c r="D175" i="7"/>
  <c r="E175" i="7" s="1"/>
  <c r="D130" i="7"/>
  <c r="E130" i="7" s="1"/>
  <c r="D39" i="7"/>
  <c r="E39" i="7" s="1"/>
  <c r="D35" i="7"/>
  <c r="E35" i="7" s="1"/>
  <c r="P16" i="3"/>
  <c r="O17" i="3"/>
  <c r="D16" i="3"/>
  <c r="E16" i="3"/>
  <c r="L6" i="6"/>
  <c r="O78" i="3"/>
  <c r="P77" i="3"/>
  <c r="D77" i="3"/>
  <c r="E77" i="3"/>
  <c r="D79" i="7"/>
  <c r="E79" i="7" s="1"/>
  <c r="D40" i="7"/>
  <c r="E40" i="7" s="1"/>
  <c r="E5" i="5"/>
  <c r="D4" i="5"/>
  <c r="F5" i="5" s="1"/>
  <c r="O68" i="3"/>
  <c r="P67" i="3"/>
  <c r="E67" i="3"/>
  <c r="D67" i="3"/>
  <c r="O52" i="3"/>
  <c r="D51" i="3"/>
  <c r="P51" i="3"/>
  <c r="E51" i="3"/>
  <c r="D9" i="5"/>
  <c r="F10" i="5" s="1"/>
  <c r="E10" i="5"/>
  <c r="E41" i="3"/>
  <c r="P41" i="3"/>
  <c r="D41" i="3"/>
  <c r="O42" i="3"/>
  <c r="D132" i="7"/>
  <c r="E132" i="7" s="1"/>
  <c r="O240" i="3"/>
  <c r="E239" i="3"/>
  <c r="D239" i="3"/>
  <c r="P239" i="3"/>
  <c r="O154" i="3"/>
  <c r="D153" i="3"/>
  <c r="P153" i="3"/>
  <c r="E153" i="3"/>
  <c r="L39" i="6"/>
  <c r="D237" i="7"/>
  <c r="E237" i="7" s="1"/>
  <c r="O132" i="3"/>
  <c r="P131" i="3"/>
  <c r="E131" i="3"/>
  <c r="D131" i="3"/>
  <c r="P192" i="3"/>
  <c r="E192" i="3"/>
  <c r="O193" i="3"/>
  <c r="D192" i="3"/>
  <c r="D252" i="7"/>
  <c r="E252" i="7" s="1"/>
  <c r="E98" i="3"/>
  <c r="O99" i="3"/>
  <c r="P98" i="3"/>
  <c r="D98" i="3"/>
  <c r="O224" i="3"/>
  <c r="E223" i="3"/>
  <c r="D223" i="3"/>
  <c r="P223" i="3"/>
  <c r="E110" i="3"/>
  <c r="O111" i="3"/>
  <c r="D110" i="3"/>
  <c r="P110" i="3"/>
  <c r="E70" i="3"/>
  <c r="P70" i="3"/>
  <c r="D70" i="3"/>
  <c r="O71" i="3"/>
  <c r="D38" i="7"/>
  <c r="E38" i="7" s="1"/>
  <c r="O204" i="3"/>
  <c r="D203" i="3"/>
  <c r="E203" i="3"/>
  <c r="P203" i="3"/>
  <c r="O164" i="3"/>
  <c r="P163" i="3"/>
  <c r="E163" i="3"/>
  <c r="D163" i="3"/>
  <c r="D111" i="7"/>
  <c r="E111" i="7" s="1"/>
  <c r="E63" i="5"/>
  <c r="D62" i="5"/>
  <c r="F63" i="5" s="1"/>
  <c r="L42" i="6"/>
  <c r="D41" i="7"/>
  <c r="E41" i="7" s="1"/>
  <c r="O7" i="3"/>
  <c r="E6" i="3"/>
  <c r="D6" i="3"/>
  <c r="P6" i="3"/>
  <c r="D124" i="7"/>
  <c r="E124" i="7" s="1"/>
  <c r="E66" i="3"/>
  <c r="O67" i="3"/>
  <c r="D66" i="3"/>
  <c r="P66" i="3"/>
  <c r="D64" i="7"/>
  <c r="E64" i="7" s="1"/>
  <c r="D29" i="7"/>
  <c r="E29" i="7" s="1"/>
  <c r="O100" i="3"/>
  <c r="E99" i="3"/>
  <c r="D99" i="3"/>
  <c r="P99" i="3"/>
  <c r="O196" i="3"/>
  <c r="E195" i="3"/>
  <c r="D195" i="3"/>
  <c r="P195" i="3"/>
  <c r="D205" i="7"/>
  <c r="E205" i="7" s="1"/>
  <c r="D133" i="7"/>
  <c r="E133" i="7" s="1"/>
  <c r="D86" i="7"/>
  <c r="E86" i="7" s="1"/>
  <c r="O110" i="3"/>
  <c r="P109" i="3"/>
  <c r="E109" i="3"/>
  <c r="D109" i="3"/>
  <c r="O176" i="3"/>
  <c r="E175" i="3"/>
  <c r="D175" i="3"/>
  <c r="P175" i="3"/>
  <c r="L53" i="6"/>
  <c r="L23" i="6"/>
  <c r="O226" i="3"/>
  <c r="E225" i="3"/>
  <c r="D225" i="3"/>
  <c r="P225" i="3"/>
  <c r="D187" i="7"/>
  <c r="E187" i="7" s="1"/>
  <c r="L30" i="6"/>
  <c r="O82" i="3"/>
  <c r="D81" i="3"/>
  <c r="E81" i="3"/>
  <c r="P81" i="3"/>
  <c r="D137" i="7"/>
  <c r="E137" i="7" s="1"/>
  <c r="E32" i="5"/>
  <c r="D31" i="5"/>
  <c r="F32" i="5" s="1"/>
  <c r="P164" i="3"/>
  <c r="E164" i="3"/>
  <c r="O165" i="3"/>
  <c r="D164" i="3"/>
  <c r="E21" i="5"/>
  <c r="D20" i="5"/>
  <c r="F21" i="5" s="1"/>
  <c r="D54" i="5"/>
  <c r="F55" i="5" s="1"/>
  <c r="E55" i="5"/>
  <c r="O92" i="3"/>
  <c r="D91" i="3"/>
  <c r="P91" i="3"/>
  <c r="E91" i="3"/>
  <c r="L15" i="6"/>
  <c r="L37" i="6"/>
  <c r="P216" i="3"/>
  <c r="E216" i="3"/>
  <c r="O217" i="3"/>
  <c r="D216" i="3"/>
  <c r="D95" i="7"/>
  <c r="E95" i="7" s="1"/>
  <c r="P15" i="3"/>
  <c r="E15" i="3"/>
  <c r="D15" i="3"/>
  <c r="O16" i="3"/>
  <c r="E9" i="5"/>
  <c r="D8" i="5"/>
  <c r="F9" i="5" s="1"/>
  <c r="O98" i="3"/>
  <c r="P97" i="3"/>
  <c r="E97" i="3"/>
  <c r="D97" i="3"/>
  <c r="O4" i="6"/>
  <c r="O5" i="6" s="1"/>
  <c r="D85" i="7"/>
  <c r="E85" i="7" s="1"/>
  <c r="L50" i="6"/>
  <c r="L40" i="6"/>
  <c r="L11" i="6"/>
  <c r="P8" i="3"/>
  <c r="E8" i="3"/>
  <c r="D8" i="3"/>
  <c r="O9" i="3"/>
  <c r="D84" i="7"/>
  <c r="E84" i="7" s="1"/>
  <c r="L35" i="6"/>
  <c r="D10" i="5"/>
  <c r="F11" i="5" s="1"/>
  <c r="E11" i="5"/>
  <c r="O250" i="3"/>
  <c r="E249" i="3"/>
  <c r="D249" i="3"/>
  <c r="P249" i="3"/>
  <c r="D202" i="7"/>
  <c r="E202" i="7" s="1"/>
  <c r="D117" i="7"/>
  <c r="E117" i="7" s="1"/>
  <c r="D213" i="7"/>
  <c r="E213" i="7" s="1"/>
  <c r="D173" i="7"/>
  <c r="E173" i="7" s="1"/>
  <c r="E58" i="3"/>
  <c r="P58" i="3"/>
  <c r="O59" i="3"/>
  <c r="D58" i="3"/>
  <c r="D193" i="7"/>
  <c r="E193" i="7" s="1"/>
  <c r="D143" i="7"/>
  <c r="E143" i="7" s="1"/>
  <c r="D72" i="7"/>
  <c r="E72" i="7" s="1"/>
  <c r="O25" i="3"/>
  <c r="E24" i="3"/>
  <c r="D24" i="3"/>
  <c r="P24" i="3"/>
  <c r="D243" i="7"/>
  <c r="E243" i="7" s="1"/>
  <c r="D49" i="7"/>
  <c r="E49" i="7" s="1"/>
  <c r="E19" i="3"/>
  <c r="O20" i="3"/>
  <c r="D19" i="3"/>
  <c r="P19" i="3"/>
  <c r="D99" i="7"/>
  <c r="E99" i="7" s="1"/>
  <c r="D48" i="5"/>
  <c r="F49" i="5" s="1"/>
  <c r="E49" i="5"/>
  <c r="O33" i="3"/>
  <c r="D32" i="3"/>
  <c r="E32" i="3"/>
  <c r="P32" i="3"/>
  <c r="D182" i="7"/>
  <c r="E182" i="7" s="1"/>
  <c r="L20" i="6"/>
  <c r="L54" i="6"/>
  <c r="E35" i="3"/>
  <c r="O36" i="3"/>
  <c r="P35" i="3"/>
  <c r="D35" i="3"/>
  <c r="E16" i="5"/>
  <c r="D15" i="5"/>
  <c r="F16" i="5" s="1"/>
  <c r="E38" i="5"/>
  <c r="D37" i="5"/>
  <c r="F38" i="5" s="1"/>
  <c r="D234" i="7"/>
  <c r="E234" i="7" s="1"/>
  <c r="E45" i="3"/>
  <c r="O46" i="3"/>
  <c r="P45" i="3"/>
  <c r="D45" i="3"/>
  <c r="D14" i="5"/>
  <c r="F15" i="5" s="1"/>
  <c r="E15" i="5"/>
  <c r="P206" i="3"/>
  <c r="E206" i="3"/>
  <c r="O207" i="3"/>
  <c r="D206" i="3"/>
  <c r="D115" i="7"/>
  <c r="E115" i="7" s="1"/>
  <c r="D23" i="7"/>
  <c r="V4" i="7"/>
  <c r="N5" i="7"/>
  <c r="R5" i="7" s="1"/>
  <c r="V7" i="7" s="1"/>
  <c r="O60" i="3"/>
  <c r="P59" i="3"/>
  <c r="E59" i="3"/>
  <c r="D59" i="3"/>
  <c r="E51" i="5"/>
  <c r="D50" i="5"/>
  <c r="F51" i="5" s="1"/>
  <c r="D28" i="7"/>
  <c r="E28" i="7" s="1"/>
  <c r="O194" i="3"/>
  <c r="P193" i="3"/>
  <c r="E193" i="3"/>
  <c r="D193" i="3"/>
  <c r="D40" i="5"/>
  <c r="F41" i="5" s="1"/>
  <c r="E41" i="5"/>
  <c r="O19" i="3"/>
  <c r="E18" i="3"/>
  <c r="D18" i="3"/>
  <c r="P18" i="3"/>
  <c r="D30" i="7"/>
  <c r="E30" i="7" s="1"/>
  <c r="AA4" i="7" l="1"/>
  <c r="S4" i="7"/>
  <c r="E23" i="7"/>
  <c r="P6" i="6"/>
  <c r="O7" i="6"/>
  <c r="D7" i="4"/>
  <c r="E6" i="4"/>
  <c r="Q5" i="7"/>
  <c r="P5" i="7"/>
  <c r="O5" i="7"/>
  <c r="S5" i="7" s="1"/>
  <c r="K5" i="7"/>
  <c r="W4" i="7"/>
  <c r="W6" i="7" s="1"/>
  <c r="V6" i="7"/>
  <c r="G6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O8" i="6"/>
  <c r="I6" i="7"/>
  <c r="N7" i="6"/>
  <c r="J6" i="7" l="1"/>
  <c r="N6" i="7" s="1"/>
  <c r="R6" i="7" s="1"/>
  <c r="I7" i="7"/>
  <c r="M9" i="6"/>
  <c r="N9" i="6"/>
  <c r="N8" i="6"/>
  <c r="Z5" i="7"/>
  <c r="K6" i="7"/>
  <c r="Q6" i="7"/>
  <c r="P6" i="7"/>
  <c r="O6" i="7"/>
  <c r="S6" i="7" s="1"/>
  <c r="G68" i="4"/>
  <c r="G67" i="4"/>
  <c r="E7" i="4"/>
  <c r="D8" i="4"/>
  <c r="O9" i="6"/>
  <c r="P9" i="6"/>
  <c r="AA5" i="7"/>
  <c r="M10" i="6" l="1"/>
  <c r="D9" i="4"/>
  <c r="E8" i="4"/>
  <c r="AA6" i="7"/>
  <c r="Z6" i="7"/>
  <c r="J7" i="7"/>
  <c r="I8" i="7"/>
  <c r="I9" i="7" s="1"/>
  <c r="O10" i="6"/>
  <c r="P10" i="6"/>
  <c r="M11" i="6" l="1"/>
  <c r="J8" i="7"/>
  <c r="J9" i="7"/>
  <c r="E9" i="4"/>
  <c r="D10" i="4"/>
  <c r="Q7" i="7"/>
  <c r="P7" i="7"/>
  <c r="O7" i="7"/>
  <c r="S7" i="7" s="1"/>
  <c r="K7" i="7"/>
  <c r="N7" i="7"/>
  <c r="R7" i="7" s="1"/>
  <c r="O11" i="6"/>
  <c r="P11" i="6"/>
  <c r="M12" i="6" l="1"/>
  <c r="N12" i="6"/>
  <c r="D11" i="4"/>
  <c r="E10" i="4"/>
  <c r="Z7" i="7"/>
  <c r="K8" i="7"/>
  <c r="P8" i="7"/>
  <c r="O8" i="7"/>
  <c r="S8" i="7" s="1"/>
  <c r="N8" i="7"/>
  <c r="R8" i="7" s="1"/>
  <c r="Q8" i="7"/>
  <c r="P12" i="6"/>
  <c r="O12" i="6"/>
  <c r="I10" i="7"/>
  <c r="AA7" i="7"/>
  <c r="M13" i="6" l="1"/>
  <c r="N13" i="6"/>
  <c r="P13" i="6"/>
  <c r="O13" i="6"/>
  <c r="Z8" i="7"/>
  <c r="J10" i="7"/>
  <c r="I11" i="7"/>
  <c r="AA8" i="7"/>
  <c r="E11" i="4"/>
  <c r="D12" i="4"/>
  <c r="K9" i="7"/>
  <c r="P9" i="7"/>
  <c r="Q9" i="7"/>
  <c r="O9" i="7"/>
  <c r="S9" i="7" s="1"/>
  <c r="N9" i="7"/>
  <c r="R9" i="7" s="1"/>
  <c r="M14" i="6" l="1"/>
  <c r="N14" i="6"/>
  <c r="Z9" i="7"/>
  <c r="AA9" i="7"/>
  <c r="J11" i="7"/>
  <c r="I12" i="7"/>
  <c r="P10" i="7"/>
  <c r="O10" i="7"/>
  <c r="S10" i="7" s="1"/>
  <c r="N10" i="7"/>
  <c r="R10" i="7" s="1"/>
  <c r="K10" i="7"/>
  <c r="Q10" i="7"/>
  <c r="D13" i="4"/>
  <c r="E12" i="4"/>
  <c r="O14" i="6"/>
  <c r="P14" i="6"/>
  <c r="M15" i="6" l="1"/>
  <c r="N15" i="6"/>
  <c r="Z10" i="7"/>
  <c r="AA10" i="7"/>
  <c r="N11" i="7"/>
  <c r="R11" i="7" s="1"/>
  <c r="O11" i="7"/>
  <c r="S11" i="7" s="1"/>
  <c r="P11" i="7"/>
  <c r="K11" i="7"/>
  <c r="Q11" i="7"/>
  <c r="E13" i="4"/>
  <c r="D14" i="4"/>
  <c r="O15" i="6"/>
  <c r="P15" i="6"/>
  <c r="J12" i="7"/>
  <c r="I13" i="7"/>
  <c r="M16" i="6" l="1"/>
  <c r="N16" i="6"/>
  <c r="P16" i="6"/>
  <c r="O16" i="6"/>
  <c r="J13" i="7"/>
  <c r="I14" i="7"/>
  <c r="N12" i="7"/>
  <c r="R12" i="7" s="1"/>
  <c r="K12" i="7"/>
  <c r="Q12" i="7"/>
  <c r="O12" i="7"/>
  <c r="S12" i="7" s="1"/>
  <c r="P12" i="7"/>
  <c r="AA11" i="7"/>
  <c r="Z11" i="7"/>
  <c r="D15" i="4"/>
  <c r="E14" i="4"/>
  <c r="M17" i="6" l="1"/>
  <c r="N17" i="6"/>
  <c r="AA12" i="7"/>
  <c r="E15" i="4"/>
  <c r="D16" i="4"/>
  <c r="Z12" i="7"/>
  <c r="J14" i="7"/>
  <c r="I15" i="7"/>
  <c r="Q13" i="7"/>
  <c r="P13" i="7"/>
  <c r="O13" i="7"/>
  <c r="S13" i="7" s="1"/>
  <c r="N13" i="7"/>
  <c r="R13" i="7" s="1"/>
  <c r="K13" i="7"/>
  <c r="O17" i="6"/>
  <c r="P17" i="6"/>
  <c r="M18" i="6" l="1"/>
  <c r="N18" i="6"/>
  <c r="J15" i="7"/>
  <c r="I16" i="7"/>
  <c r="P18" i="6"/>
  <c r="O18" i="6"/>
  <c r="AA13" i="7"/>
  <c r="N14" i="7"/>
  <c r="R14" i="7" s="1"/>
  <c r="K14" i="7"/>
  <c r="Q14" i="7"/>
  <c r="P14" i="7"/>
  <c r="O14" i="7"/>
  <c r="S14" i="7" s="1"/>
  <c r="Z13" i="7"/>
  <c r="D17" i="4"/>
  <c r="E16" i="4"/>
  <c r="M19" i="6" l="1"/>
  <c r="N19" i="6"/>
  <c r="AA14" i="7"/>
  <c r="Z14" i="7"/>
  <c r="E17" i="4"/>
  <c r="D18" i="4"/>
  <c r="P19" i="6"/>
  <c r="O19" i="6"/>
  <c r="J16" i="7"/>
  <c r="I17" i="7"/>
  <c r="Q15" i="7"/>
  <c r="P15" i="7"/>
  <c r="O15" i="7"/>
  <c r="S15" i="7" s="1"/>
  <c r="N15" i="7"/>
  <c r="R15" i="7" s="1"/>
  <c r="K15" i="7"/>
  <c r="M20" i="6" l="1"/>
  <c r="N20" i="6"/>
  <c r="O20" i="6"/>
  <c r="P20" i="6"/>
  <c r="D19" i="4"/>
  <c r="E18" i="4"/>
  <c r="Z15" i="7"/>
  <c r="AA15" i="7"/>
  <c r="J17" i="7"/>
  <c r="I18" i="7"/>
  <c r="K16" i="7"/>
  <c r="P16" i="7"/>
  <c r="O16" i="7"/>
  <c r="S16" i="7" s="1"/>
  <c r="N16" i="7"/>
  <c r="R16" i="7" s="1"/>
  <c r="Q16" i="7"/>
  <c r="M21" i="6" l="1"/>
  <c r="N21" i="6"/>
  <c r="N17" i="7"/>
  <c r="R17" i="7" s="1"/>
  <c r="K17" i="7"/>
  <c r="Q17" i="7"/>
  <c r="P17" i="7"/>
  <c r="O17" i="7"/>
  <c r="S17" i="7" s="1"/>
  <c r="Z16" i="7"/>
  <c r="J18" i="7"/>
  <c r="I19" i="7"/>
  <c r="AA16" i="7"/>
  <c r="E19" i="4"/>
  <c r="D20" i="4"/>
  <c r="O21" i="6"/>
  <c r="P21" i="6"/>
  <c r="M22" i="6" l="1"/>
  <c r="N22" i="6"/>
  <c r="J19" i="7"/>
  <c r="I20" i="7"/>
  <c r="O18" i="7"/>
  <c r="S18" i="7" s="1"/>
  <c r="P18" i="7"/>
  <c r="N18" i="7"/>
  <c r="R18" i="7" s="1"/>
  <c r="Q18" i="7"/>
  <c r="K18" i="7"/>
  <c r="P22" i="6"/>
  <c r="O22" i="6"/>
  <c r="AA17" i="7"/>
  <c r="D21" i="4"/>
  <c r="E20" i="4"/>
  <c r="Z17" i="7"/>
  <c r="M23" i="6" l="1"/>
  <c r="N23" i="6"/>
  <c r="AA18" i="7"/>
  <c r="Z18" i="7"/>
  <c r="E21" i="4"/>
  <c r="D22" i="4"/>
  <c r="J20" i="7"/>
  <c r="I21" i="7"/>
  <c r="O23" i="6"/>
  <c r="P23" i="6"/>
  <c r="K19" i="7"/>
  <c r="P19" i="7"/>
  <c r="N19" i="7"/>
  <c r="R19" i="7" s="1"/>
  <c r="Q19" i="7"/>
  <c r="O19" i="7"/>
  <c r="S19" i="7" s="1"/>
  <c r="M24" i="6" l="1"/>
  <c r="N24" i="6"/>
  <c r="D23" i="4"/>
  <c r="E22" i="4"/>
  <c r="Z19" i="7"/>
  <c r="J21" i="7"/>
  <c r="I22" i="7"/>
  <c r="AA19" i="7"/>
  <c r="N20" i="7"/>
  <c r="R20" i="7" s="1"/>
  <c r="K20" i="7"/>
  <c r="Q20" i="7"/>
  <c r="P20" i="7"/>
  <c r="O20" i="7"/>
  <c r="S20" i="7" s="1"/>
  <c r="O24" i="6"/>
  <c r="P24" i="6"/>
  <c r="M25" i="6" l="1"/>
  <c r="N25" i="6"/>
  <c r="Z20" i="7"/>
  <c r="P25" i="6"/>
  <c r="O25" i="6"/>
  <c r="J22" i="7"/>
  <c r="I23" i="7"/>
  <c r="K21" i="7"/>
  <c r="Q21" i="7"/>
  <c r="P21" i="7"/>
  <c r="O21" i="7"/>
  <c r="S21" i="7" s="1"/>
  <c r="N21" i="7"/>
  <c r="R21" i="7" s="1"/>
  <c r="AA20" i="7"/>
  <c r="E23" i="4"/>
  <c r="D24" i="4"/>
  <c r="M26" i="6" l="1"/>
  <c r="N26" i="6"/>
  <c r="O26" i="6"/>
  <c r="P26" i="6"/>
  <c r="J23" i="7"/>
  <c r="I24" i="7"/>
  <c r="O22" i="7"/>
  <c r="S22" i="7" s="1"/>
  <c r="N22" i="7"/>
  <c r="R22" i="7" s="1"/>
  <c r="K22" i="7"/>
  <c r="P22" i="7"/>
  <c r="Q22" i="7"/>
  <c r="Z21" i="7"/>
  <c r="AA21" i="7"/>
  <c r="D25" i="4"/>
  <c r="E24" i="4"/>
  <c r="M27" i="6" l="1"/>
  <c r="N27" i="6"/>
  <c r="Z22" i="7"/>
  <c r="AA22" i="7"/>
  <c r="J24" i="7"/>
  <c r="I25" i="7"/>
  <c r="E25" i="4"/>
  <c r="D26" i="4"/>
  <c r="K23" i="7"/>
  <c r="Q23" i="7"/>
  <c r="P23" i="7"/>
  <c r="O23" i="7"/>
  <c r="S23" i="7" s="1"/>
  <c r="N23" i="7"/>
  <c r="R23" i="7" s="1"/>
  <c r="O27" i="6"/>
  <c r="P27" i="6"/>
  <c r="M28" i="6" l="1"/>
  <c r="N28" i="6"/>
  <c r="D27" i="4"/>
  <c r="E26" i="4"/>
  <c r="P28" i="6"/>
  <c r="O28" i="6"/>
  <c r="J25" i="7"/>
  <c r="I26" i="7"/>
  <c r="N24" i="7"/>
  <c r="R24" i="7" s="1"/>
  <c r="O24" i="7"/>
  <c r="S24" i="7" s="1"/>
  <c r="K24" i="7"/>
  <c r="P24" i="7"/>
  <c r="Q24" i="7"/>
  <c r="Z23" i="7"/>
  <c r="AA23" i="7"/>
  <c r="M29" i="6" l="1"/>
  <c r="N29" i="6"/>
  <c r="AA24" i="7"/>
  <c r="Z24" i="7"/>
  <c r="J26" i="7"/>
  <c r="I27" i="7"/>
  <c r="Q25" i="7"/>
  <c r="N25" i="7"/>
  <c r="R25" i="7" s="1"/>
  <c r="K25" i="7"/>
  <c r="P25" i="7"/>
  <c r="O25" i="7"/>
  <c r="S25" i="7" s="1"/>
  <c r="P29" i="6"/>
  <c r="O29" i="6"/>
  <c r="E27" i="4"/>
  <c r="D28" i="4"/>
  <c r="M30" i="6" l="1"/>
  <c r="N30" i="6"/>
  <c r="P30" i="6"/>
  <c r="O30" i="6"/>
  <c r="Z25" i="7"/>
  <c r="D29" i="4"/>
  <c r="E28" i="4"/>
  <c r="J27" i="7"/>
  <c r="I28" i="7"/>
  <c r="N26" i="7"/>
  <c r="R26" i="7" s="1"/>
  <c r="K26" i="7"/>
  <c r="Q26" i="7"/>
  <c r="P26" i="7"/>
  <c r="O26" i="7"/>
  <c r="S26" i="7" s="1"/>
  <c r="AA25" i="7"/>
  <c r="N31" i="6" l="1"/>
  <c r="M31" i="6"/>
  <c r="Z26" i="7"/>
  <c r="J28" i="7"/>
  <c r="I29" i="7"/>
  <c r="K27" i="7"/>
  <c r="Q27" i="7"/>
  <c r="P27" i="7"/>
  <c r="O27" i="7"/>
  <c r="S27" i="7" s="1"/>
  <c r="N27" i="7"/>
  <c r="R27" i="7" s="1"/>
  <c r="E29" i="4"/>
  <c r="D30" i="4"/>
  <c r="O31" i="6"/>
  <c r="P31" i="6"/>
  <c r="AA26" i="7"/>
  <c r="M32" i="6" l="1"/>
  <c r="N32" i="6"/>
  <c r="Z27" i="7"/>
  <c r="AA27" i="7"/>
  <c r="J29" i="7"/>
  <c r="I30" i="7"/>
  <c r="P32" i="6"/>
  <c r="O32" i="6"/>
  <c r="P28" i="7"/>
  <c r="K28" i="7"/>
  <c r="Q28" i="7"/>
  <c r="O28" i="7"/>
  <c r="S28" i="7" s="1"/>
  <c r="N28" i="7"/>
  <c r="R28" i="7" s="1"/>
  <c r="D31" i="4"/>
  <c r="E30" i="4"/>
  <c r="N33" i="6" l="1"/>
  <c r="M33" i="6"/>
  <c r="J30" i="7"/>
  <c r="I31" i="7"/>
  <c r="Z28" i="7"/>
  <c r="Q29" i="7"/>
  <c r="P29" i="7"/>
  <c r="O29" i="7"/>
  <c r="S29" i="7" s="1"/>
  <c r="N29" i="7"/>
  <c r="R29" i="7" s="1"/>
  <c r="K29" i="7"/>
  <c r="O33" i="6"/>
  <c r="P33" i="6"/>
  <c r="E31" i="4"/>
  <c r="D32" i="4"/>
  <c r="AA28" i="7"/>
  <c r="N34" i="6" l="1"/>
  <c r="M34" i="6"/>
  <c r="Z29" i="7"/>
  <c r="AA29" i="7"/>
  <c r="O34" i="6"/>
  <c r="P34" i="6"/>
  <c r="D33" i="4"/>
  <c r="E32" i="4"/>
  <c r="J31" i="7"/>
  <c r="I32" i="7"/>
  <c r="K30" i="7"/>
  <c r="P30" i="7"/>
  <c r="Q30" i="7"/>
  <c r="O30" i="7"/>
  <c r="S30" i="7" s="1"/>
  <c r="N30" i="7"/>
  <c r="R30" i="7" s="1"/>
  <c r="M35" i="6" l="1"/>
  <c r="N35" i="6"/>
  <c r="Z30" i="7"/>
  <c r="E33" i="4"/>
  <c r="D34" i="4"/>
  <c r="AA30" i="7"/>
  <c r="P35" i="6"/>
  <c r="O35" i="6"/>
  <c r="J32" i="7"/>
  <c r="I33" i="7"/>
  <c r="O31" i="7"/>
  <c r="S31" i="7" s="1"/>
  <c r="Q31" i="7"/>
  <c r="P31" i="7"/>
  <c r="N31" i="7"/>
  <c r="R31" i="7" s="1"/>
  <c r="K31" i="7"/>
  <c r="M36" i="6" l="1"/>
  <c r="N36" i="6"/>
  <c r="J33" i="7"/>
  <c r="I34" i="7"/>
  <c r="O36" i="6"/>
  <c r="P36" i="6"/>
  <c r="Z31" i="7"/>
  <c r="D35" i="4"/>
  <c r="E34" i="4"/>
  <c r="AA31" i="7"/>
  <c r="Q32" i="7"/>
  <c r="N32" i="7"/>
  <c r="R32" i="7" s="1"/>
  <c r="P32" i="7"/>
  <c r="O32" i="7"/>
  <c r="S32" i="7" s="1"/>
  <c r="K32" i="7"/>
  <c r="M37" i="6" l="1"/>
  <c r="N37" i="6"/>
  <c r="E35" i="4"/>
  <c r="D36" i="4"/>
  <c r="Z32" i="7"/>
  <c r="J34" i="7"/>
  <c r="I35" i="7"/>
  <c r="AA32" i="7"/>
  <c r="O37" i="6"/>
  <c r="P37" i="6"/>
  <c r="Q33" i="7"/>
  <c r="P33" i="7"/>
  <c r="K33" i="7"/>
  <c r="O33" i="7"/>
  <c r="S33" i="7" s="1"/>
  <c r="N33" i="7"/>
  <c r="R33" i="7" s="1"/>
  <c r="M38" i="6" l="1"/>
  <c r="N38" i="6"/>
  <c r="Z33" i="7"/>
  <c r="N34" i="7"/>
  <c r="R34" i="7" s="1"/>
  <c r="K34" i="7"/>
  <c r="O34" i="7"/>
  <c r="S34" i="7" s="1"/>
  <c r="Q34" i="7"/>
  <c r="P34" i="7"/>
  <c r="J35" i="7"/>
  <c r="I36" i="7"/>
  <c r="P38" i="6"/>
  <c r="O38" i="6"/>
  <c r="AA33" i="7"/>
  <c r="D37" i="4"/>
  <c r="E36" i="4"/>
  <c r="M39" i="6" l="1"/>
  <c r="N39" i="6"/>
  <c r="J36" i="7"/>
  <c r="I37" i="7"/>
  <c r="AA34" i="7"/>
  <c r="Q35" i="7"/>
  <c r="P35" i="7"/>
  <c r="K35" i="7"/>
  <c r="O35" i="7"/>
  <c r="S35" i="7" s="1"/>
  <c r="N35" i="7"/>
  <c r="R35" i="7" s="1"/>
  <c r="E37" i="4"/>
  <c r="D38" i="4"/>
  <c r="Z34" i="7"/>
  <c r="O39" i="6"/>
  <c r="P39" i="6"/>
  <c r="M40" i="6" l="1"/>
  <c r="N40" i="6"/>
  <c r="AA35" i="7"/>
  <c r="J37" i="7"/>
  <c r="I38" i="7"/>
  <c r="O40" i="6"/>
  <c r="P40" i="6"/>
  <c r="D39" i="4"/>
  <c r="E38" i="4"/>
  <c r="Z35" i="7"/>
  <c r="Q36" i="7"/>
  <c r="P36" i="7"/>
  <c r="O36" i="7"/>
  <c r="S36" i="7" s="1"/>
  <c r="N36" i="7"/>
  <c r="R36" i="7" s="1"/>
  <c r="K36" i="7"/>
  <c r="M41" i="6" l="1"/>
  <c r="N41" i="6"/>
  <c r="E39" i="4"/>
  <c r="D40" i="4"/>
  <c r="O41" i="6"/>
  <c r="P41" i="6"/>
  <c r="J38" i="7"/>
  <c r="I39" i="7"/>
  <c r="Z36" i="7"/>
  <c r="AA36" i="7"/>
  <c r="K37" i="7"/>
  <c r="Q37" i="7"/>
  <c r="P37" i="7"/>
  <c r="O37" i="7"/>
  <c r="S37" i="7" s="1"/>
  <c r="N37" i="7"/>
  <c r="R37" i="7" s="1"/>
  <c r="N42" i="6" l="1"/>
  <c r="M42" i="6"/>
  <c r="J39" i="7"/>
  <c r="I40" i="7"/>
  <c r="AA37" i="7"/>
  <c r="P38" i="7"/>
  <c r="O38" i="7"/>
  <c r="S38" i="7" s="1"/>
  <c r="N38" i="7"/>
  <c r="R38" i="7" s="1"/>
  <c r="K38" i="7"/>
  <c r="Q38" i="7"/>
  <c r="Z37" i="7"/>
  <c r="O42" i="6"/>
  <c r="P42" i="6"/>
  <c r="D41" i="4"/>
  <c r="E40" i="4"/>
  <c r="N43" i="6" l="1"/>
  <c r="M43" i="6"/>
  <c r="AA38" i="7"/>
  <c r="E41" i="4"/>
  <c r="D42" i="4"/>
  <c r="Z38" i="7"/>
  <c r="P43" i="6"/>
  <c r="O43" i="6"/>
  <c r="J40" i="7"/>
  <c r="I41" i="7"/>
  <c r="Q39" i="7"/>
  <c r="N39" i="7"/>
  <c r="R39" i="7" s="1"/>
  <c r="P39" i="7"/>
  <c r="O39" i="7"/>
  <c r="S39" i="7" s="1"/>
  <c r="K39" i="7"/>
  <c r="M44" i="6" l="1"/>
  <c r="N44" i="6"/>
  <c r="P44" i="6"/>
  <c r="O44" i="6"/>
  <c r="Z39" i="7"/>
  <c r="J41" i="7"/>
  <c r="I42" i="7"/>
  <c r="K40" i="7"/>
  <c r="Q40" i="7"/>
  <c r="P40" i="7"/>
  <c r="O40" i="7"/>
  <c r="S40" i="7" s="1"/>
  <c r="N40" i="7"/>
  <c r="R40" i="7" s="1"/>
  <c r="AA39" i="7"/>
  <c r="D43" i="4"/>
  <c r="E42" i="4"/>
  <c r="M45" i="6" l="1"/>
  <c r="N45" i="6"/>
  <c r="AA40" i="7"/>
  <c r="O41" i="7"/>
  <c r="S41" i="7" s="1"/>
  <c r="N41" i="7"/>
  <c r="R41" i="7" s="1"/>
  <c r="K41" i="7"/>
  <c r="Q41" i="7"/>
  <c r="P41" i="7"/>
  <c r="J42" i="7"/>
  <c r="I43" i="7"/>
  <c r="O45" i="6"/>
  <c r="P45" i="6"/>
  <c r="E43" i="4"/>
  <c r="D44" i="4"/>
  <c r="Z40" i="7"/>
  <c r="M46" i="6" l="1"/>
  <c r="N46" i="6"/>
  <c r="J43" i="7"/>
  <c r="I44" i="7"/>
  <c r="AA41" i="7"/>
  <c r="O46" i="6"/>
  <c r="P46" i="6"/>
  <c r="Q42" i="7"/>
  <c r="P42" i="7"/>
  <c r="N42" i="7"/>
  <c r="R42" i="7" s="1"/>
  <c r="K42" i="7"/>
  <c r="O42" i="7"/>
  <c r="S42" i="7" s="1"/>
  <c r="Z41" i="7"/>
  <c r="D45" i="4"/>
  <c r="E44" i="4"/>
  <c r="M47" i="6" l="1"/>
  <c r="N47" i="6"/>
  <c r="O47" i="6"/>
  <c r="P47" i="6"/>
  <c r="J44" i="7"/>
  <c r="I45" i="7"/>
  <c r="Z42" i="7"/>
  <c r="E45" i="4"/>
  <c r="D46" i="4"/>
  <c r="AA42" i="7"/>
  <c r="K43" i="7"/>
  <c r="P43" i="7"/>
  <c r="Q43" i="7"/>
  <c r="O43" i="7"/>
  <c r="S43" i="7" s="1"/>
  <c r="N43" i="7"/>
  <c r="R43" i="7" s="1"/>
  <c r="M48" i="6" l="1"/>
  <c r="N48" i="6"/>
  <c r="D47" i="4"/>
  <c r="E46" i="4"/>
  <c r="Z43" i="7"/>
  <c r="AA43" i="7"/>
  <c r="J45" i="7"/>
  <c r="I46" i="7"/>
  <c r="Q44" i="7"/>
  <c r="N44" i="7"/>
  <c r="R44" i="7" s="1"/>
  <c r="K44" i="7"/>
  <c r="O44" i="7"/>
  <c r="S44" i="7" s="1"/>
  <c r="P44" i="7"/>
  <c r="O48" i="6"/>
  <c r="P48" i="6"/>
  <c r="M49" i="6" l="1"/>
  <c r="N49" i="6"/>
  <c r="Q45" i="7"/>
  <c r="K45" i="7"/>
  <c r="N45" i="7"/>
  <c r="R45" i="7" s="1"/>
  <c r="P45" i="7"/>
  <c r="O45" i="7"/>
  <c r="S45" i="7" s="1"/>
  <c r="Z44" i="7"/>
  <c r="O49" i="6"/>
  <c r="P49" i="6"/>
  <c r="AA44" i="7"/>
  <c r="J46" i="7"/>
  <c r="I47" i="7"/>
  <c r="E47" i="4"/>
  <c r="D48" i="4"/>
  <c r="M50" i="6" l="1"/>
  <c r="N50" i="6"/>
  <c r="P50" i="6"/>
  <c r="O50" i="6"/>
  <c r="D49" i="4"/>
  <c r="E48" i="4"/>
  <c r="J47" i="7"/>
  <c r="I48" i="7"/>
  <c r="AA45" i="7"/>
  <c r="Z45" i="7"/>
  <c r="K46" i="7"/>
  <c r="N46" i="7"/>
  <c r="R46" i="7" s="1"/>
  <c r="O46" i="7"/>
  <c r="S46" i="7" s="1"/>
  <c r="Q46" i="7"/>
  <c r="P46" i="7"/>
  <c r="M51" i="6" l="1"/>
  <c r="N51" i="6"/>
  <c r="P47" i="7"/>
  <c r="Q47" i="7"/>
  <c r="O47" i="7"/>
  <c r="S47" i="7" s="1"/>
  <c r="N47" i="7"/>
  <c r="R47" i="7" s="1"/>
  <c r="K47" i="7"/>
  <c r="AA46" i="7"/>
  <c r="Z46" i="7"/>
  <c r="J48" i="7"/>
  <c r="I49" i="7"/>
  <c r="E49" i="4"/>
  <c r="D50" i="4"/>
  <c r="O51" i="6"/>
  <c r="P51" i="6"/>
  <c r="M52" i="6" l="1"/>
  <c r="N52" i="6"/>
  <c r="O52" i="6"/>
  <c r="P52" i="6"/>
  <c r="AA47" i="7"/>
  <c r="K48" i="7"/>
  <c r="Q48" i="7"/>
  <c r="P48" i="7"/>
  <c r="O48" i="7"/>
  <c r="S48" i="7" s="1"/>
  <c r="N48" i="7"/>
  <c r="R48" i="7" s="1"/>
  <c r="Z47" i="7"/>
  <c r="D51" i="4"/>
  <c r="E50" i="4"/>
  <c r="J49" i="7"/>
  <c r="I50" i="7"/>
  <c r="M53" i="6" l="1"/>
  <c r="N53" i="6"/>
  <c r="AA48" i="7"/>
  <c r="J50" i="7"/>
  <c r="I51" i="7"/>
  <c r="E51" i="4"/>
  <c r="D52" i="4"/>
  <c r="Z48" i="7"/>
  <c r="Q49" i="7"/>
  <c r="P49" i="7"/>
  <c r="O49" i="7"/>
  <c r="S49" i="7" s="1"/>
  <c r="N49" i="7"/>
  <c r="R49" i="7" s="1"/>
  <c r="K49" i="7"/>
  <c r="P53" i="6"/>
  <c r="O53" i="6"/>
  <c r="M54" i="6" l="1"/>
  <c r="N54" i="6"/>
  <c r="D53" i="4"/>
  <c r="E52" i="4"/>
  <c r="O54" i="6"/>
  <c r="P54" i="6"/>
  <c r="J51" i="7"/>
  <c r="I52" i="7"/>
  <c r="O50" i="7"/>
  <c r="S50" i="7" s="1"/>
  <c r="N50" i="7"/>
  <c r="R50" i="7" s="1"/>
  <c r="K50" i="7"/>
  <c r="Q50" i="7"/>
  <c r="P50" i="7"/>
  <c r="Z49" i="7"/>
  <c r="AA49" i="7"/>
  <c r="M55" i="6" l="1"/>
  <c r="N55" i="6"/>
  <c r="AA50" i="7"/>
  <c r="J52" i="7"/>
  <c r="I53" i="7"/>
  <c r="Z50" i="7"/>
  <c r="P51" i="7"/>
  <c r="O51" i="7"/>
  <c r="S51" i="7" s="1"/>
  <c r="N51" i="7"/>
  <c r="R51" i="7" s="1"/>
  <c r="Q51" i="7"/>
  <c r="K51" i="7"/>
  <c r="O55" i="6"/>
  <c r="P55" i="6"/>
  <c r="E53" i="4"/>
  <c r="D54" i="4"/>
  <c r="M56" i="6" l="1"/>
  <c r="N56" i="6"/>
  <c r="Z51" i="7"/>
  <c r="AA51" i="7"/>
  <c r="J53" i="7"/>
  <c r="I54" i="7"/>
  <c r="D55" i="4"/>
  <c r="E54" i="4"/>
  <c r="O52" i="7"/>
  <c r="S52" i="7" s="1"/>
  <c r="K52" i="7"/>
  <c r="Q52" i="7"/>
  <c r="P52" i="7"/>
  <c r="N52" i="7"/>
  <c r="R52" i="7" s="1"/>
  <c r="O56" i="6"/>
  <c r="P56" i="6"/>
  <c r="N57" i="6" l="1"/>
  <c r="M57" i="6"/>
  <c r="AA52" i="7"/>
  <c r="E55" i="4"/>
  <c r="D56" i="4"/>
  <c r="N53" i="7"/>
  <c r="R53" i="7" s="1"/>
  <c r="P53" i="7"/>
  <c r="O53" i="7"/>
  <c r="S53" i="7" s="1"/>
  <c r="K53" i="7"/>
  <c r="Q53" i="7"/>
  <c r="J54" i="7"/>
  <c r="I55" i="7"/>
  <c r="O57" i="6"/>
  <c r="P57" i="6"/>
  <c r="Z52" i="7"/>
  <c r="M58" i="6" l="1"/>
  <c r="N58" i="6"/>
  <c r="Q54" i="7"/>
  <c r="N54" i="7"/>
  <c r="R54" i="7" s="1"/>
  <c r="K54" i="7"/>
  <c r="O54" i="7"/>
  <c r="S54" i="7" s="1"/>
  <c r="P54" i="7"/>
  <c r="AA53" i="7"/>
  <c r="Z53" i="7"/>
  <c r="D57" i="4"/>
  <c r="E56" i="4"/>
  <c r="P58" i="6"/>
  <c r="O58" i="6"/>
  <c r="J55" i="7"/>
  <c r="I56" i="7"/>
  <c r="M59" i="6" l="1"/>
  <c r="N59" i="6"/>
  <c r="J56" i="7"/>
  <c r="I57" i="7"/>
  <c r="O55" i="7"/>
  <c r="S55" i="7" s="1"/>
  <c r="N55" i="7"/>
  <c r="R55" i="7" s="1"/>
  <c r="K55" i="7"/>
  <c r="P55" i="7"/>
  <c r="Q55" i="7"/>
  <c r="AA54" i="7"/>
  <c r="E57" i="4"/>
  <c r="D58" i="4"/>
  <c r="P59" i="6"/>
  <c r="O59" i="6"/>
  <c r="Z54" i="7"/>
  <c r="M60" i="6" l="1"/>
  <c r="N60" i="6"/>
  <c r="Z55" i="7"/>
  <c r="P60" i="6"/>
  <c r="O60" i="6"/>
  <c r="AA55" i="7"/>
  <c r="J57" i="7"/>
  <c r="I58" i="7"/>
  <c r="E58" i="4"/>
  <c r="D59" i="4"/>
  <c r="K56" i="7"/>
  <c r="N56" i="7"/>
  <c r="R56" i="7" s="1"/>
  <c r="P56" i="7"/>
  <c r="O56" i="7"/>
  <c r="S56" i="7" s="1"/>
  <c r="Q56" i="7"/>
  <c r="N61" i="6" l="1"/>
  <c r="M61" i="6"/>
  <c r="J58" i="7"/>
  <c r="I59" i="7"/>
  <c r="P57" i="7"/>
  <c r="N57" i="7"/>
  <c r="R57" i="7" s="1"/>
  <c r="K57" i="7"/>
  <c r="Q57" i="7"/>
  <c r="O57" i="7"/>
  <c r="S57" i="7" s="1"/>
  <c r="E59" i="4"/>
  <c r="D60" i="4"/>
  <c r="AA56" i="7"/>
  <c r="O61" i="6"/>
  <c r="P61" i="6"/>
  <c r="Z56" i="7"/>
  <c r="N62" i="6" l="1"/>
  <c r="M62" i="6"/>
  <c r="E60" i="4"/>
  <c r="D61" i="4"/>
  <c r="AA57" i="7"/>
  <c r="Z57" i="7"/>
  <c r="O62" i="6"/>
  <c r="P62" i="6"/>
  <c r="J59" i="7"/>
  <c r="I60" i="7"/>
  <c r="Q58" i="7"/>
  <c r="K58" i="7"/>
  <c r="P58" i="7"/>
  <c r="O58" i="7"/>
  <c r="S58" i="7" s="1"/>
  <c r="N58" i="7"/>
  <c r="R58" i="7" s="1"/>
  <c r="M63" i="6" l="1"/>
  <c r="N63" i="6"/>
  <c r="O63" i="6"/>
  <c r="P63" i="6"/>
  <c r="J60" i="7"/>
  <c r="I61" i="7"/>
  <c r="N59" i="7"/>
  <c r="R59" i="7" s="1"/>
  <c r="K59" i="7"/>
  <c r="Q59" i="7"/>
  <c r="O59" i="7"/>
  <c r="S59" i="7" s="1"/>
  <c r="P59" i="7"/>
  <c r="AA58" i="7"/>
  <c r="Z58" i="7"/>
  <c r="E61" i="4"/>
  <c r="D62" i="4"/>
  <c r="AA59" i="7" l="1"/>
  <c r="E62" i="4"/>
  <c r="D63" i="4"/>
  <c r="Z59" i="7"/>
  <c r="J61" i="7"/>
  <c r="I62" i="7"/>
  <c r="O60" i="7"/>
  <c r="S60" i="7" s="1"/>
  <c r="Q60" i="7"/>
  <c r="P60" i="7"/>
  <c r="N60" i="7"/>
  <c r="R60" i="7" s="1"/>
  <c r="K60" i="7"/>
  <c r="AA60" i="7" l="1"/>
  <c r="J62" i="7"/>
  <c r="I63" i="7"/>
  <c r="P61" i="7"/>
  <c r="Q61" i="7"/>
  <c r="O61" i="7"/>
  <c r="S61" i="7" s="1"/>
  <c r="N61" i="7"/>
  <c r="R61" i="7" s="1"/>
  <c r="K61" i="7"/>
  <c r="E63" i="4"/>
  <c r="D68" i="4"/>
  <c r="D67" i="4"/>
  <c r="Z60" i="7"/>
  <c r="E68" i="4" l="1"/>
  <c r="E67" i="4"/>
  <c r="Z61" i="7"/>
  <c r="AA61" i="7"/>
  <c r="J63" i="7"/>
  <c r="I64" i="7"/>
  <c r="Q62" i="7"/>
  <c r="P62" i="7"/>
  <c r="O62" i="7"/>
  <c r="S62" i="7" s="1"/>
  <c r="N62" i="7"/>
  <c r="R62" i="7" s="1"/>
  <c r="K62" i="7"/>
  <c r="N63" i="7" l="1"/>
  <c r="R63" i="7" s="1"/>
  <c r="P63" i="7"/>
  <c r="Q63" i="7"/>
  <c r="O63" i="7"/>
  <c r="S63" i="7" s="1"/>
  <c r="K63" i="7"/>
  <c r="J64" i="7"/>
  <c r="I65" i="7"/>
  <c r="Z62" i="7"/>
  <c r="AA62" i="7"/>
  <c r="Q64" i="7" l="1"/>
  <c r="P64" i="7"/>
  <c r="O64" i="7"/>
  <c r="S64" i="7" s="1"/>
  <c r="N64" i="7"/>
  <c r="R64" i="7" s="1"/>
  <c r="K64" i="7"/>
  <c r="AA63" i="7"/>
  <c r="J65" i="7"/>
  <c r="I66" i="7"/>
  <c r="Z63" i="7"/>
  <c r="J66" i="7" l="1"/>
  <c r="I67" i="7"/>
  <c r="Z64" i="7"/>
  <c r="O65" i="7"/>
  <c r="S65" i="7" s="1"/>
  <c r="Q65" i="7"/>
  <c r="P65" i="7"/>
  <c r="N65" i="7"/>
  <c r="R65" i="7" s="1"/>
  <c r="K65" i="7"/>
  <c r="AA64" i="7"/>
  <c r="Z65" i="7" l="1"/>
  <c r="AA65" i="7"/>
  <c r="J67" i="7"/>
  <c r="I68" i="7"/>
  <c r="K66" i="7"/>
  <c r="N66" i="7"/>
  <c r="R66" i="7" s="1"/>
  <c r="Q66" i="7"/>
  <c r="P66" i="7"/>
  <c r="O66" i="7"/>
  <c r="S66" i="7" s="1"/>
  <c r="Z66" i="7" l="1"/>
  <c r="J68" i="7"/>
  <c r="I69" i="7"/>
  <c r="P67" i="7"/>
  <c r="O67" i="7"/>
  <c r="S67" i="7" s="1"/>
  <c r="N67" i="7"/>
  <c r="R67" i="7" s="1"/>
  <c r="Q67" i="7"/>
  <c r="K67" i="7"/>
  <c r="AA66" i="7"/>
  <c r="Z67" i="7" l="1"/>
  <c r="AA67" i="7"/>
  <c r="J69" i="7"/>
  <c r="I70" i="7"/>
  <c r="Q68" i="7"/>
  <c r="N68" i="7"/>
  <c r="R68" i="7" s="1"/>
  <c r="K68" i="7"/>
  <c r="P68" i="7"/>
  <c r="O68" i="7"/>
  <c r="S68" i="7" s="1"/>
  <c r="K69" i="7" l="1"/>
  <c r="Q69" i="7"/>
  <c r="P69" i="7"/>
  <c r="O69" i="7"/>
  <c r="S69" i="7" s="1"/>
  <c r="N69" i="7"/>
  <c r="R69" i="7" s="1"/>
  <c r="Z68" i="7"/>
  <c r="J70" i="7"/>
  <c r="I71" i="7"/>
  <c r="AA68" i="7"/>
  <c r="J71" i="7" l="1"/>
  <c r="I72" i="7"/>
  <c r="O70" i="7"/>
  <c r="S70" i="7" s="1"/>
  <c r="N70" i="7"/>
  <c r="R70" i="7" s="1"/>
  <c r="K70" i="7"/>
  <c r="Q70" i="7"/>
  <c r="P70" i="7"/>
  <c r="Z69" i="7"/>
  <c r="AA69" i="7"/>
  <c r="Z70" i="7" l="1"/>
  <c r="AA70" i="7"/>
  <c r="J72" i="7"/>
  <c r="I73" i="7"/>
  <c r="Q71" i="7"/>
  <c r="P71" i="7"/>
  <c r="N71" i="7"/>
  <c r="R71" i="7" s="1"/>
  <c r="O71" i="7"/>
  <c r="S71" i="7" s="1"/>
  <c r="K71" i="7"/>
  <c r="AA71" i="7" l="1"/>
  <c r="Z71" i="7"/>
  <c r="J73" i="7"/>
  <c r="I74" i="7"/>
  <c r="P72" i="7"/>
  <c r="Q72" i="7"/>
  <c r="O72" i="7"/>
  <c r="S72" i="7" s="1"/>
  <c r="N72" i="7"/>
  <c r="R72" i="7" s="1"/>
  <c r="K72" i="7"/>
  <c r="Z72" i="7" l="1"/>
  <c r="AA72" i="7"/>
  <c r="J74" i="7"/>
  <c r="I75" i="7"/>
  <c r="N73" i="7"/>
  <c r="R73" i="7" s="1"/>
  <c r="K73" i="7"/>
  <c r="P73" i="7"/>
  <c r="O73" i="7"/>
  <c r="S73" i="7" s="1"/>
  <c r="Q73" i="7"/>
  <c r="J75" i="7" l="1"/>
  <c r="I76" i="7"/>
  <c r="AA73" i="7"/>
  <c r="Z73" i="7"/>
  <c r="Q74" i="7"/>
  <c r="P74" i="7"/>
  <c r="O74" i="7"/>
  <c r="S74" i="7" s="1"/>
  <c r="N74" i="7"/>
  <c r="R74" i="7" s="1"/>
  <c r="K74" i="7"/>
  <c r="AA74" i="7" l="1"/>
  <c r="Z74" i="7"/>
  <c r="J76" i="7"/>
  <c r="I77" i="7"/>
  <c r="O75" i="7"/>
  <c r="S75" i="7" s="1"/>
  <c r="Q75" i="7"/>
  <c r="P75" i="7"/>
  <c r="N75" i="7"/>
  <c r="R75" i="7" s="1"/>
  <c r="K75" i="7"/>
  <c r="Z75" i="7" l="1"/>
  <c r="AA75" i="7"/>
  <c r="J77" i="7"/>
  <c r="I78" i="7"/>
  <c r="K76" i="7"/>
  <c r="Q76" i="7"/>
  <c r="O76" i="7"/>
  <c r="S76" i="7" s="1"/>
  <c r="N76" i="7"/>
  <c r="R76" i="7" s="1"/>
  <c r="P76" i="7"/>
  <c r="AA76" i="7" l="1"/>
  <c r="J78" i="7"/>
  <c r="I79" i="7"/>
  <c r="Z76" i="7"/>
  <c r="P77" i="7"/>
  <c r="O77" i="7"/>
  <c r="S77" i="7" s="1"/>
  <c r="N77" i="7"/>
  <c r="R77" i="7" s="1"/>
  <c r="Q77" i="7"/>
  <c r="K77" i="7"/>
  <c r="AA77" i="7" l="1"/>
  <c r="Z77" i="7"/>
  <c r="J79" i="7"/>
  <c r="I80" i="7"/>
  <c r="Q78" i="7"/>
  <c r="N78" i="7"/>
  <c r="R78" i="7" s="1"/>
  <c r="P78" i="7"/>
  <c r="O78" i="7"/>
  <c r="S78" i="7" s="1"/>
  <c r="K78" i="7"/>
  <c r="AA78" i="7" l="1"/>
  <c r="Z78" i="7"/>
  <c r="J80" i="7"/>
  <c r="I81" i="7"/>
  <c r="Q79" i="7"/>
  <c r="P79" i="7"/>
  <c r="O79" i="7"/>
  <c r="S79" i="7" s="1"/>
  <c r="N79" i="7"/>
  <c r="R79" i="7" s="1"/>
  <c r="K79" i="7"/>
  <c r="Z79" i="7" l="1"/>
  <c r="AA79" i="7"/>
  <c r="J81" i="7"/>
  <c r="I82" i="7"/>
  <c r="O80" i="7"/>
  <c r="S80" i="7" s="1"/>
  <c r="N80" i="7"/>
  <c r="R80" i="7" s="1"/>
  <c r="K80" i="7"/>
  <c r="Q80" i="7"/>
  <c r="P80" i="7"/>
  <c r="Z80" i="7" l="1"/>
  <c r="Q81" i="7"/>
  <c r="P81" i="7"/>
  <c r="K81" i="7"/>
  <c r="O81" i="7"/>
  <c r="S81" i="7" s="1"/>
  <c r="N81" i="7"/>
  <c r="R81" i="7" s="1"/>
  <c r="AA80" i="7"/>
  <c r="J82" i="7"/>
  <c r="I83" i="7"/>
  <c r="P82" i="7" l="1"/>
  <c r="O82" i="7"/>
  <c r="S82" i="7" s="1"/>
  <c r="N82" i="7"/>
  <c r="R82" i="7" s="1"/>
  <c r="K82" i="7"/>
  <c r="Q82" i="7"/>
  <c r="Z81" i="7"/>
  <c r="AA81" i="7"/>
  <c r="J83" i="7"/>
  <c r="I84" i="7"/>
  <c r="N83" i="7" l="1"/>
  <c r="R83" i="7" s="1"/>
  <c r="K83" i="7"/>
  <c r="P83" i="7"/>
  <c r="O83" i="7"/>
  <c r="S83" i="7" s="1"/>
  <c r="Q83" i="7"/>
  <c r="Z82" i="7"/>
  <c r="AA82" i="7"/>
  <c r="J84" i="7"/>
  <c r="I85" i="7"/>
  <c r="AA83" i="7" l="1"/>
  <c r="Q84" i="7"/>
  <c r="P84" i="7"/>
  <c r="O84" i="7"/>
  <c r="S84" i="7" s="1"/>
  <c r="K84" i="7"/>
  <c r="N84" i="7"/>
  <c r="R84" i="7" s="1"/>
  <c r="J85" i="7"/>
  <c r="I86" i="7"/>
  <c r="Z83" i="7"/>
  <c r="J86" i="7" l="1"/>
  <c r="I87" i="7"/>
  <c r="O85" i="7"/>
  <c r="S85" i="7" s="1"/>
  <c r="Q85" i="7"/>
  <c r="N85" i="7"/>
  <c r="R85" i="7" s="1"/>
  <c r="K85" i="7"/>
  <c r="P85" i="7"/>
  <c r="AA84" i="7"/>
  <c r="Z84" i="7"/>
  <c r="Z85" i="7" l="1"/>
  <c r="AA85" i="7"/>
  <c r="J87" i="7"/>
  <c r="I88" i="7"/>
  <c r="K86" i="7"/>
  <c r="P86" i="7"/>
  <c r="O86" i="7"/>
  <c r="S86" i="7" s="1"/>
  <c r="N86" i="7"/>
  <c r="R86" i="7" s="1"/>
  <c r="Q86" i="7"/>
  <c r="Z86" i="7" l="1"/>
  <c r="P87" i="7"/>
  <c r="O87" i="7"/>
  <c r="S87" i="7" s="1"/>
  <c r="N87" i="7"/>
  <c r="R87" i="7" s="1"/>
  <c r="Q87" i="7"/>
  <c r="K87" i="7"/>
  <c r="AA86" i="7"/>
  <c r="J88" i="7"/>
  <c r="I89" i="7"/>
  <c r="Q88" i="7" l="1"/>
  <c r="N88" i="7"/>
  <c r="R88" i="7" s="1"/>
  <c r="P88" i="7"/>
  <c r="O88" i="7"/>
  <c r="S88" i="7" s="1"/>
  <c r="K88" i="7"/>
  <c r="Z87" i="7"/>
  <c r="AA87" i="7"/>
  <c r="J89" i="7"/>
  <c r="I90" i="7"/>
  <c r="Q89" i="7" l="1"/>
  <c r="O89" i="7"/>
  <c r="S89" i="7" s="1"/>
  <c r="K89" i="7"/>
  <c r="P89" i="7"/>
  <c r="N89" i="7"/>
  <c r="R89" i="7" s="1"/>
  <c r="AA88" i="7"/>
  <c r="Z88" i="7"/>
  <c r="J90" i="7"/>
  <c r="I91" i="7"/>
  <c r="Z89" i="7" l="1"/>
  <c r="AA89" i="7"/>
  <c r="O90" i="7"/>
  <c r="S90" i="7" s="1"/>
  <c r="N90" i="7"/>
  <c r="R90" i="7" s="1"/>
  <c r="K90" i="7"/>
  <c r="Q90" i="7"/>
  <c r="P90" i="7"/>
  <c r="J91" i="7"/>
  <c r="I92" i="7"/>
  <c r="AA90" i="7" l="1"/>
  <c r="Q91" i="7"/>
  <c r="P91" i="7"/>
  <c r="K91" i="7"/>
  <c r="N91" i="7"/>
  <c r="R91" i="7" s="1"/>
  <c r="O91" i="7"/>
  <c r="S91" i="7" s="1"/>
  <c r="Z90" i="7"/>
  <c r="J92" i="7"/>
  <c r="I93" i="7"/>
  <c r="P92" i="7" l="1"/>
  <c r="Q92" i="7"/>
  <c r="O92" i="7"/>
  <c r="S92" i="7" s="1"/>
  <c r="N92" i="7"/>
  <c r="R92" i="7" s="1"/>
  <c r="K92" i="7"/>
  <c r="Z91" i="7"/>
  <c r="AA91" i="7"/>
  <c r="J93" i="7"/>
  <c r="I94" i="7"/>
  <c r="N93" i="7" l="1"/>
  <c r="R93" i="7" s="1"/>
  <c r="K93" i="7"/>
  <c r="O93" i="7"/>
  <c r="S93" i="7" s="1"/>
  <c r="Q93" i="7"/>
  <c r="P93" i="7"/>
  <c r="AA92" i="7"/>
  <c r="Z92" i="7"/>
  <c r="J94" i="7"/>
  <c r="I95" i="7"/>
  <c r="Q94" i="7" l="1"/>
  <c r="P94" i="7"/>
  <c r="O94" i="7"/>
  <c r="S94" i="7" s="1"/>
  <c r="N94" i="7"/>
  <c r="R94" i="7" s="1"/>
  <c r="K94" i="7"/>
  <c r="AA93" i="7"/>
  <c r="J95" i="7"/>
  <c r="I96" i="7"/>
  <c r="Z93" i="7"/>
  <c r="O95" i="7" l="1"/>
  <c r="S95" i="7" s="1"/>
  <c r="Q95" i="7"/>
  <c r="P95" i="7"/>
  <c r="N95" i="7"/>
  <c r="R95" i="7" s="1"/>
  <c r="K95" i="7"/>
  <c r="AA94" i="7"/>
  <c r="J96" i="7"/>
  <c r="I97" i="7"/>
  <c r="Z94" i="7"/>
  <c r="J97" i="7" l="1"/>
  <c r="I98" i="7"/>
  <c r="K96" i="7"/>
  <c r="Q96" i="7"/>
  <c r="P96" i="7"/>
  <c r="O96" i="7"/>
  <c r="S96" i="7" s="1"/>
  <c r="N96" i="7"/>
  <c r="R96" i="7" s="1"/>
  <c r="Z95" i="7"/>
  <c r="AA95" i="7"/>
  <c r="Z96" i="7" l="1"/>
  <c r="AA96" i="7"/>
  <c r="J98" i="7"/>
  <c r="I99" i="7"/>
  <c r="P97" i="7"/>
  <c r="O97" i="7"/>
  <c r="S97" i="7" s="1"/>
  <c r="N97" i="7"/>
  <c r="R97" i="7" s="1"/>
  <c r="Q97" i="7"/>
  <c r="K97" i="7"/>
  <c r="AA97" i="7" l="1"/>
  <c r="Z97" i="7"/>
  <c r="J99" i="7"/>
  <c r="I100" i="7"/>
  <c r="Q98" i="7"/>
  <c r="N98" i="7"/>
  <c r="R98" i="7" s="1"/>
  <c r="O98" i="7"/>
  <c r="S98" i="7" s="1"/>
  <c r="K98" i="7"/>
  <c r="P98" i="7"/>
  <c r="AA98" i="7" l="1"/>
  <c r="Z98" i="7"/>
  <c r="J100" i="7"/>
  <c r="I101" i="7"/>
  <c r="Q99" i="7"/>
  <c r="O99" i="7"/>
  <c r="S99" i="7" s="1"/>
  <c r="N99" i="7"/>
  <c r="R99" i="7" s="1"/>
  <c r="K99" i="7"/>
  <c r="P99" i="7"/>
  <c r="AA99" i="7" l="1"/>
  <c r="J101" i="7"/>
  <c r="I102" i="7"/>
  <c r="Z99" i="7"/>
  <c r="O100" i="7"/>
  <c r="S100" i="7" s="1"/>
  <c r="N100" i="7"/>
  <c r="R100" i="7" s="1"/>
  <c r="K100" i="7"/>
  <c r="P100" i="7"/>
  <c r="Q100" i="7"/>
  <c r="Z100" i="7" l="1"/>
  <c r="AA100" i="7"/>
  <c r="J102" i="7"/>
  <c r="I103" i="7"/>
  <c r="Q101" i="7"/>
  <c r="P101" i="7"/>
  <c r="K101" i="7"/>
  <c r="N101" i="7"/>
  <c r="R101" i="7" s="1"/>
  <c r="O101" i="7"/>
  <c r="S101" i="7" s="1"/>
  <c r="P102" i="7" l="1"/>
  <c r="K102" i="7"/>
  <c r="Q102" i="7"/>
  <c r="O102" i="7"/>
  <c r="S102" i="7" s="1"/>
  <c r="N102" i="7"/>
  <c r="R102" i="7" s="1"/>
  <c r="Z101" i="7"/>
  <c r="J103" i="7"/>
  <c r="I104" i="7"/>
  <c r="AA101" i="7"/>
  <c r="N103" i="7" l="1"/>
  <c r="R103" i="7" s="1"/>
  <c r="K103" i="7"/>
  <c r="Q103" i="7"/>
  <c r="P103" i="7"/>
  <c r="O103" i="7"/>
  <c r="S103" i="7" s="1"/>
  <c r="AA102" i="7"/>
  <c r="J104" i="7"/>
  <c r="I105" i="7"/>
  <c r="Z102" i="7"/>
  <c r="J105" i="7" l="1"/>
  <c r="I106" i="7"/>
  <c r="AA103" i="7"/>
  <c r="Q104" i="7"/>
  <c r="P104" i="7"/>
  <c r="O104" i="7"/>
  <c r="S104" i="7" s="1"/>
  <c r="N104" i="7"/>
  <c r="R104" i="7" s="1"/>
  <c r="K104" i="7"/>
  <c r="Z103" i="7"/>
  <c r="Z104" i="7" l="1"/>
  <c r="AA104" i="7"/>
  <c r="J106" i="7"/>
  <c r="I107" i="7"/>
  <c r="O105" i="7"/>
  <c r="S105" i="7" s="1"/>
  <c r="K105" i="7"/>
  <c r="P105" i="7"/>
  <c r="Q105" i="7"/>
  <c r="N105" i="7"/>
  <c r="R105" i="7" s="1"/>
  <c r="J107" i="7" l="1"/>
  <c r="I108" i="7"/>
  <c r="AA105" i="7"/>
  <c r="K106" i="7"/>
  <c r="N106" i="7"/>
  <c r="R106" i="7" s="1"/>
  <c r="O106" i="7"/>
  <c r="S106" i="7" s="1"/>
  <c r="P106" i="7"/>
  <c r="Q106" i="7"/>
  <c r="Z105" i="7"/>
  <c r="AA106" i="7" l="1"/>
  <c r="Z106" i="7"/>
  <c r="J108" i="7"/>
  <c r="I109" i="7"/>
  <c r="P107" i="7"/>
  <c r="O107" i="7"/>
  <c r="S107" i="7" s="1"/>
  <c r="N107" i="7"/>
  <c r="R107" i="7" s="1"/>
  <c r="Q107" i="7"/>
  <c r="K107" i="7"/>
  <c r="Z107" i="7" l="1"/>
  <c r="AA107" i="7"/>
  <c r="J109" i="7"/>
  <c r="I110" i="7"/>
  <c r="Q108" i="7"/>
  <c r="N108" i="7"/>
  <c r="R108" i="7" s="1"/>
  <c r="K108" i="7"/>
  <c r="P108" i="7"/>
  <c r="O108" i="7"/>
  <c r="S108" i="7" s="1"/>
  <c r="Z108" i="7" l="1"/>
  <c r="J110" i="7"/>
  <c r="I111" i="7"/>
  <c r="Q109" i="7"/>
  <c r="P109" i="7"/>
  <c r="O109" i="7"/>
  <c r="S109" i="7" s="1"/>
  <c r="N109" i="7"/>
  <c r="R109" i="7" s="1"/>
  <c r="K109" i="7"/>
  <c r="AA108" i="7"/>
  <c r="Z109" i="7" l="1"/>
  <c r="AA109" i="7"/>
  <c r="J111" i="7"/>
  <c r="I112" i="7"/>
  <c r="O110" i="7"/>
  <c r="S110" i="7" s="1"/>
  <c r="N110" i="7"/>
  <c r="R110" i="7" s="1"/>
  <c r="K110" i="7"/>
  <c r="Q110" i="7"/>
  <c r="P110" i="7"/>
  <c r="Z110" i="7" l="1"/>
  <c r="AA110" i="7"/>
  <c r="Q111" i="7"/>
  <c r="P111" i="7"/>
  <c r="K111" i="7"/>
  <c r="O111" i="7"/>
  <c r="S111" i="7" s="1"/>
  <c r="N111" i="7"/>
  <c r="R111" i="7" s="1"/>
  <c r="J112" i="7"/>
  <c r="I113" i="7"/>
  <c r="P112" i="7" l="1"/>
  <c r="Q112" i="7"/>
  <c r="O112" i="7"/>
  <c r="S112" i="7" s="1"/>
  <c r="N112" i="7"/>
  <c r="R112" i="7" s="1"/>
  <c r="K112" i="7"/>
  <c r="Z111" i="7"/>
  <c r="AA111" i="7"/>
  <c r="J113" i="7"/>
  <c r="I114" i="7"/>
  <c r="AA112" i="7" l="1"/>
  <c r="N113" i="7"/>
  <c r="R113" i="7" s="1"/>
  <c r="K113" i="7"/>
  <c r="Q113" i="7"/>
  <c r="P113" i="7"/>
  <c r="O113" i="7"/>
  <c r="S113" i="7" s="1"/>
  <c r="Z112" i="7"/>
  <c r="J114" i="7"/>
  <c r="I115" i="7"/>
  <c r="Q114" i="7" l="1"/>
  <c r="P114" i="7"/>
  <c r="O114" i="7"/>
  <c r="S114" i="7" s="1"/>
  <c r="N114" i="7"/>
  <c r="R114" i="7" s="1"/>
  <c r="K114" i="7"/>
  <c r="AA113" i="7"/>
  <c r="Z113" i="7"/>
  <c r="J115" i="7"/>
  <c r="I116" i="7"/>
  <c r="O115" i="7" l="1"/>
  <c r="S115" i="7" s="1"/>
  <c r="N115" i="7"/>
  <c r="R115" i="7" s="1"/>
  <c r="K115" i="7"/>
  <c r="Q115" i="7"/>
  <c r="P115" i="7"/>
  <c r="Z114" i="7"/>
  <c r="AA114" i="7"/>
  <c r="J116" i="7"/>
  <c r="I117" i="7"/>
  <c r="K116" i="7" l="1"/>
  <c r="O116" i="7"/>
  <c r="S116" i="7" s="1"/>
  <c r="N116" i="7"/>
  <c r="R116" i="7" s="1"/>
  <c r="Q116" i="7"/>
  <c r="P116" i="7"/>
  <c r="Z115" i="7"/>
  <c r="J117" i="7"/>
  <c r="I118" i="7"/>
  <c r="AA115" i="7"/>
  <c r="J118" i="7" l="1"/>
  <c r="I119" i="7"/>
  <c r="P117" i="7"/>
  <c r="O117" i="7"/>
  <c r="S117" i="7" s="1"/>
  <c r="N117" i="7"/>
  <c r="R117" i="7" s="1"/>
  <c r="K117" i="7"/>
  <c r="Q117" i="7"/>
  <c r="Z116" i="7"/>
  <c r="AA116" i="7"/>
  <c r="Z117" i="7" l="1"/>
  <c r="AA117" i="7"/>
  <c r="J119" i="7"/>
  <c r="I120" i="7"/>
  <c r="Q118" i="7"/>
  <c r="N118" i="7"/>
  <c r="R118" i="7" s="1"/>
  <c r="P118" i="7"/>
  <c r="O118" i="7"/>
  <c r="S118" i="7" s="1"/>
  <c r="K118" i="7"/>
  <c r="Z118" i="7" l="1"/>
  <c r="J120" i="7"/>
  <c r="I121" i="7"/>
  <c r="AA118" i="7"/>
  <c r="Q119" i="7"/>
  <c r="K119" i="7"/>
  <c r="P119" i="7"/>
  <c r="O119" i="7"/>
  <c r="S119" i="7" s="1"/>
  <c r="N119" i="7"/>
  <c r="R119" i="7" s="1"/>
  <c r="AA119" i="7" l="1"/>
  <c r="J121" i="7"/>
  <c r="I122" i="7"/>
  <c r="O120" i="7"/>
  <c r="S120" i="7" s="1"/>
  <c r="N120" i="7"/>
  <c r="R120" i="7" s="1"/>
  <c r="K120" i="7"/>
  <c r="P120" i="7"/>
  <c r="Q120" i="7"/>
  <c r="Z119" i="7"/>
  <c r="Z120" i="7" l="1"/>
  <c r="AA120" i="7"/>
  <c r="J122" i="7"/>
  <c r="I123" i="7"/>
  <c r="Q121" i="7"/>
  <c r="P121" i="7"/>
  <c r="K121" i="7"/>
  <c r="N121" i="7"/>
  <c r="R121" i="7" s="1"/>
  <c r="O121" i="7"/>
  <c r="S121" i="7" s="1"/>
  <c r="Z121" i="7" l="1"/>
  <c r="J123" i="7"/>
  <c r="I124" i="7"/>
  <c r="P122" i="7"/>
  <c r="N122" i="7"/>
  <c r="R122" i="7" s="1"/>
  <c r="Q122" i="7"/>
  <c r="O122" i="7"/>
  <c r="S122" i="7" s="1"/>
  <c r="K122" i="7"/>
  <c r="AA121" i="7"/>
  <c r="AA122" i="7" l="1"/>
  <c r="Z122" i="7"/>
  <c r="J124" i="7"/>
  <c r="I125" i="7"/>
  <c r="N123" i="7"/>
  <c r="R123" i="7" s="1"/>
  <c r="K123" i="7"/>
  <c r="O123" i="7"/>
  <c r="S123" i="7" s="1"/>
  <c r="Q123" i="7"/>
  <c r="P123" i="7"/>
  <c r="Z123" i="7" l="1"/>
  <c r="Q124" i="7"/>
  <c r="P124" i="7"/>
  <c r="O124" i="7"/>
  <c r="S124" i="7" s="1"/>
  <c r="N124" i="7"/>
  <c r="R124" i="7" s="1"/>
  <c r="K124" i="7"/>
  <c r="AA123" i="7"/>
  <c r="J125" i="7"/>
  <c r="I126" i="7"/>
  <c r="AA124" i="7" l="1"/>
  <c r="O125" i="7"/>
  <c r="S125" i="7" s="1"/>
  <c r="Q125" i="7"/>
  <c r="K125" i="7"/>
  <c r="P125" i="7"/>
  <c r="N125" i="7"/>
  <c r="R125" i="7" s="1"/>
  <c r="Z124" i="7"/>
  <c r="J126" i="7"/>
  <c r="I127" i="7"/>
  <c r="Z125" i="7" l="1"/>
  <c r="K126" i="7"/>
  <c r="Q126" i="7"/>
  <c r="P126" i="7"/>
  <c r="O126" i="7"/>
  <c r="S126" i="7" s="1"/>
  <c r="N126" i="7"/>
  <c r="R126" i="7" s="1"/>
  <c r="AA125" i="7"/>
  <c r="J127" i="7"/>
  <c r="I128" i="7"/>
  <c r="Z126" i="7" l="1"/>
  <c r="P127" i="7"/>
  <c r="O127" i="7"/>
  <c r="S127" i="7" s="1"/>
  <c r="N127" i="7"/>
  <c r="R127" i="7" s="1"/>
  <c r="Q127" i="7"/>
  <c r="K127" i="7"/>
  <c r="AA126" i="7"/>
  <c r="J128" i="7"/>
  <c r="I129" i="7"/>
  <c r="Q128" i="7" l="1"/>
  <c r="N128" i="7"/>
  <c r="R128" i="7" s="1"/>
  <c r="P128" i="7"/>
  <c r="O128" i="7"/>
  <c r="S128" i="7" s="1"/>
  <c r="K128" i="7"/>
  <c r="Z127" i="7"/>
  <c r="AA127" i="7"/>
  <c r="J129" i="7"/>
  <c r="I130" i="7"/>
  <c r="AA128" i="7" l="1"/>
  <c r="Q129" i="7"/>
  <c r="P129" i="7"/>
  <c r="O129" i="7"/>
  <c r="S129" i="7" s="1"/>
  <c r="K129" i="7"/>
  <c r="N129" i="7"/>
  <c r="R129" i="7" s="1"/>
  <c r="Z128" i="7"/>
  <c r="J130" i="7"/>
  <c r="I131" i="7"/>
  <c r="O130" i="7" l="1"/>
  <c r="S130" i="7" s="1"/>
  <c r="N130" i="7"/>
  <c r="R130" i="7" s="1"/>
  <c r="K130" i="7"/>
  <c r="Q130" i="7"/>
  <c r="P130" i="7"/>
  <c r="Z129" i="7"/>
  <c r="AA129" i="7"/>
  <c r="J131" i="7"/>
  <c r="I132" i="7"/>
  <c r="Q131" i="7" l="1"/>
  <c r="P131" i="7"/>
  <c r="K131" i="7"/>
  <c r="O131" i="7"/>
  <c r="S131" i="7" s="1"/>
  <c r="N131" i="7"/>
  <c r="R131" i="7" s="1"/>
  <c r="Z130" i="7"/>
  <c r="J132" i="7"/>
  <c r="I133" i="7"/>
  <c r="AA130" i="7"/>
  <c r="J133" i="7" l="1"/>
  <c r="I134" i="7"/>
  <c r="P132" i="7"/>
  <c r="O132" i="7"/>
  <c r="S132" i="7" s="1"/>
  <c r="N132" i="7"/>
  <c r="R132" i="7" s="1"/>
  <c r="K132" i="7"/>
  <c r="Q132" i="7"/>
  <c r="Z131" i="7"/>
  <c r="AA131" i="7"/>
  <c r="AA132" i="7" l="1"/>
  <c r="Z132" i="7"/>
  <c r="J134" i="7"/>
  <c r="I135" i="7"/>
  <c r="N133" i="7"/>
  <c r="R133" i="7" s="1"/>
  <c r="K133" i="7"/>
  <c r="P133" i="7"/>
  <c r="O133" i="7"/>
  <c r="S133" i="7" s="1"/>
  <c r="Q133" i="7"/>
  <c r="Z133" i="7" l="1"/>
  <c r="AA133" i="7"/>
  <c r="J135" i="7"/>
  <c r="I136" i="7"/>
  <c r="Q134" i="7"/>
  <c r="P134" i="7"/>
  <c r="O134" i="7"/>
  <c r="S134" i="7" s="1"/>
  <c r="K134" i="7"/>
  <c r="N134" i="7"/>
  <c r="R134" i="7" s="1"/>
  <c r="AA134" i="7" l="1"/>
  <c r="J136" i="7"/>
  <c r="I137" i="7"/>
  <c r="O135" i="7"/>
  <c r="S135" i="7" s="1"/>
  <c r="P135" i="7"/>
  <c r="Q135" i="7"/>
  <c r="N135" i="7"/>
  <c r="R135" i="7" s="1"/>
  <c r="K135" i="7"/>
  <c r="Z134" i="7"/>
  <c r="Z135" i="7" l="1"/>
  <c r="AA135" i="7"/>
  <c r="J137" i="7"/>
  <c r="I138" i="7"/>
  <c r="K136" i="7"/>
  <c r="P136" i="7"/>
  <c r="O136" i="7"/>
  <c r="S136" i="7" s="1"/>
  <c r="Q136" i="7"/>
  <c r="N136" i="7"/>
  <c r="R136" i="7" s="1"/>
  <c r="J138" i="7" l="1"/>
  <c r="I139" i="7"/>
  <c r="AA136" i="7"/>
  <c r="P137" i="7"/>
  <c r="O137" i="7"/>
  <c r="S137" i="7" s="1"/>
  <c r="N137" i="7"/>
  <c r="R137" i="7" s="1"/>
  <c r="K137" i="7"/>
  <c r="Q137" i="7"/>
  <c r="Z136" i="7"/>
  <c r="AA137" i="7" l="1"/>
  <c r="Z137" i="7"/>
  <c r="J139" i="7"/>
  <c r="I140" i="7"/>
  <c r="Q138" i="7"/>
  <c r="N138" i="7"/>
  <c r="R138" i="7" s="1"/>
  <c r="K138" i="7"/>
  <c r="P138" i="7"/>
  <c r="O138" i="7"/>
  <c r="S138" i="7" s="1"/>
  <c r="Z138" i="7" l="1"/>
  <c r="Q139" i="7"/>
  <c r="N139" i="7"/>
  <c r="R139" i="7" s="1"/>
  <c r="P139" i="7"/>
  <c r="O139" i="7"/>
  <c r="S139" i="7" s="1"/>
  <c r="K139" i="7"/>
  <c r="J140" i="7"/>
  <c r="I141" i="7"/>
  <c r="AA138" i="7"/>
  <c r="O140" i="7" l="1"/>
  <c r="S140" i="7" s="1"/>
  <c r="N140" i="7"/>
  <c r="R140" i="7" s="1"/>
  <c r="K140" i="7"/>
  <c r="P140" i="7"/>
  <c r="Q140" i="7"/>
  <c r="J141" i="7"/>
  <c r="I142" i="7"/>
  <c r="AA139" i="7"/>
  <c r="Z139" i="7"/>
  <c r="J142" i="7" l="1"/>
  <c r="I143" i="7"/>
  <c r="Q141" i="7"/>
  <c r="N141" i="7"/>
  <c r="R141" i="7" s="1"/>
  <c r="P141" i="7"/>
  <c r="O141" i="7"/>
  <c r="S141" i="7" s="1"/>
  <c r="K141" i="7"/>
  <c r="Z140" i="7"/>
  <c r="AA140" i="7"/>
  <c r="AA141" i="7" l="1"/>
  <c r="Z141" i="7"/>
  <c r="J143" i="7"/>
  <c r="I144" i="7"/>
  <c r="Q142" i="7"/>
  <c r="P142" i="7"/>
  <c r="O142" i="7"/>
  <c r="S142" i="7" s="1"/>
  <c r="N142" i="7"/>
  <c r="R142" i="7" s="1"/>
  <c r="K142" i="7"/>
  <c r="Z142" i="7" l="1"/>
  <c r="AA142" i="7"/>
  <c r="J144" i="7"/>
  <c r="I145" i="7"/>
  <c r="N143" i="7"/>
  <c r="R143" i="7" s="1"/>
  <c r="K143" i="7"/>
  <c r="P143" i="7"/>
  <c r="O143" i="7"/>
  <c r="S143" i="7" s="1"/>
  <c r="Q143" i="7"/>
  <c r="J145" i="7" l="1"/>
  <c r="I146" i="7"/>
  <c r="AA143" i="7"/>
  <c r="Z143" i="7"/>
  <c r="Q144" i="7"/>
  <c r="P144" i="7"/>
  <c r="O144" i="7"/>
  <c r="S144" i="7" s="1"/>
  <c r="K144" i="7"/>
  <c r="N144" i="7"/>
  <c r="R144" i="7" s="1"/>
  <c r="AA144" i="7" l="1"/>
  <c r="J146" i="7"/>
  <c r="I147" i="7"/>
  <c r="Z144" i="7"/>
  <c r="O145" i="7"/>
  <c r="S145" i="7" s="1"/>
  <c r="Q145" i="7"/>
  <c r="P145" i="7"/>
  <c r="N145" i="7"/>
  <c r="R145" i="7" s="1"/>
  <c r="K145" i="7"/>
  <c r="AA145" i="7" l="1"/>
  <c r="Z145" i="7"/>
  <c r="J147" i="7"/>
  <c r="I148" i="7"/>
  <c r="K146" i="7"/>
  <c r="Q146" i="7"/>
  <c r="N146" i="7"/>
  <c r="R146" i="7" s="1"/>
  <c r="O146" i="7"/>
  <c r="S146" i="7" s="1"/>
  <c r="P146" i="7"/>
  <c r="Z146" i="7" l="1"/>
  <c r="AA146" i="7"/>
  <c r="J148" i="7"/>
  <c r="I149" i="7"/>
  <c r="P147" i="7"/>
  <c r="O147" i="7"/>
  <c r="S147" i="7" s="1"/>
  <c r="N147" i="7"/>
  <c r="R147" i="7" s="1"/>
  <c r="Q147" i="7"/>
  <c r="K147" i="7"/>
  <c r="AA147" i="7" l="1"/>
  <c r="Z147" i="7"/>
  <c r="J149" i="7"/>
  <c r="I150" i="7"/>
  <c r="Q148" i="7"/>
  <c r="N148" i="7"/>
  <c r="R148" i="7" s="1"/>
  <c r="P148" i="7"/>
  <c r="O148" i="7"/>
  <c r="S148" i="7" s="1"/>
  <c r="K148" i="7"/>
  <c r="AA148" i="7" l="1"/>
  <c r="Z148" i="7"/>
  <c r="J150" i="7"/>
  <c r="I151" i="7"/>
  <c r="Q149" i="7"/>
  <c r="P149" i="7"/>
  <c r="O149" i="7"/>
  <c r="S149" i="7" s="1"/>
  <c r="K149" i="7"/>
  <c r="N149" i="7"/>
  <c r="R149" i="7" s="1"/>
  <c r="J151" i="7" l="1"/>
  <c r="I152" i="7"/>
  <c r="AA149" i="7"/>
  <c r="O150" i="7"/>
  <c r="S150" i="7" s="1"/>
  <c r="N150" i="7"/>
  <c r="R150" i="7" s="1"/>
  <c r="K150" i="7"/>
  <c r="Q150" i="7"/>
  <c r="P150" i="7"/>
  <c r="Z149" i="7"/>
  <c r="Z150" i="7" l="1"/>
  <c r="AA150" i="7"/>
  <c r="J152" i="7"/>
  <c r="I153" i="7"/>
  <c r="Q151" i="7"/>
  <c r="P151" i="7"/>
  <c r="K151" i="7"/>
  <c r="O151" i="7"/>
  <c r="S151" i="7" s="1"/>
  <c r="N151" i="7"/>
  <c r="R151" i="7" s="1"/>
  <c r="J153" i="7" l="1"/>
  <c r="I154" i="7"/>
  <c r="AA151" i="7"/>
  <c r="P152" i="7"/>
  <c r="O152" i="7"/>
  <c r="S152" i="7" s="1"/>
  <c r="N152" i="7"/>
  <c r="R152" i="7" s="1"/>
  <c r="K152" i="7"/>
  <c r="Q152" i="7"/>
  <c r="Z151" i="7"/>
  <c r="Z152" i="7" l="1"/>
  <c r="AA152" i="7"/>
  <c r="J154" i="7"/>
  <c r="I155" i="7"/>
  <c r="N153" i="7"/>
  <c r="R153" i="7" s="1"/>
  <c r="K153" i="7"/>
  <c r="P153" i="7"/>
  <c r="O153" i="7"/>
  <c r="S153" i="7" s="1"/>
  <c r="Q153" i="7"/>
  <c r="AA153" i="7" l="1"/>
  <c r="Z153" i="7"/>
  <c r="J155" i="7"/>
  <c r="I156" i="7"/>
  <c r="Q154" i="7"/>
  <c r="P154" i="7"/>
  <c r="O154" i="7"/>
  <c r="S154" i="7" s="1"/>
  <c r="K154" i="7"/>
  <c r="N154" i="7"/>
  <c r="R154" i="7" s="1"/>
  <c r="AA154" i="7" l="1"/>
  <c r="J156" i="7"/>
  <c r="I157" i="7"/>
  <c r="O155" i="7"/>
  <c r="S155" i="7" s="1"/>
  <c r="K155" i="7"/>
  <c r="Q155" i="7"/>
  <c r="P155" i="7"/>
  <c r="N155" i="7"/>
  <c r="R155" i="7" s="1"/>
  <c r="Z154" i="7"/>
  <c r="Z155" i="7" l="1"/>
  <c r="AA155" i="7"/>
  <c r="J157" i="7"/>
  <c r="I158" i="7"/>
  <c r="K156" i="7"/>
  <c r="Q156" i="7"/>
  <c r="P156" i="7"/>
  <c r="O156" i="7"/>
  <c r="S156" i="7" s="1"/>
  <c r="N156" i="7"/>
  <c r="R156" i="7" s="1"/>
  <c r="AA156" i="7" l="1"/>
  <c r="J158" i="7"/>
  <c r="I159" i="7"/>
  <c r="P157" i="7"/>
  <c r="O157" i="7"/>
  <c r="S157" i="7" s="1"/>
  <c r="N157" i="7"/>
  <c r="R157" i="7" s="1"/>
  <c r="Q157" i="7"/>
  <c r="K157" i="7"/>
  <c r="Z156" i="7"/>
  <c r="AA157" i="7" l="1"/>
  <c r="Z157" i="7"/>
  <c r="J159" i="7"/>
  <c r="I160" i="7"/>
  <c r="Q158" i="7"/>
  <c r="N158" i="7"/>
  <c r="R158" i="7" s="1"/>
  <c r="P158" i="7"/>
  <c r="K158" i="7"/>
  <c r="O158" i="7"/>
  <c r="S158" i="7" s="1"/>
  <c r="Z158" i="7" l="1"/>
  <c r="J160" i="7"/>
  <c r="I161" i="7"/>
  <c r="Q159" i="7"/>
  <c r="P159" i="7"/>
  <c r="O159" i="7"/>
  <c r="S159" i="7" s="1"/>
  <c r="N159" i="7"/>
  <c r="R159" i="7" s="1"/>
  <c r="K159" i="7"/>
  <c r="AA158" i="7"/>
  <c r="Z159" i="7" l="1"/>
  <c r="AA159" i="7"/>
  <c r="J161" i="7"/>
  <c r="I162" i="7"/>
  <c r="O160" i="7"/>
  <c r="S160" i="7" s="1"/>
  <c r="N160" i="7"/>
  <c r="R160" i="7" s="1"/>
  <c r="K160" i="7"/>
  <c r="P160" i="7"/>
  <c r="Q160" i="7"/>
  <c r="Z160" i="7" l="1"/>
  <c r="J162" i="7"/>
  <c r="I163" i="7"/>
  <c r="Q161" i="7"/>
  <c r="P161" i="7"/>
  <c r="K161" i="7"/>
  <c r="N161" i="7"/>
  <c r="R161" i="7" s="1"/>
  <c r="O161" i="7"/>
  <c r="S161" i="7" s="1"/>
  <c r="AA160" i="7"/>
  <c r="Z161" i="7" l="1"/>
  <c r="AA161" i="7"/>
  <c r="J163" i="7"/>
  <c r="I164" i="7"/>
  <c r="P162" i="7"/>
  <c r="N162" i="7"/>
  <c r="R162" i="7" s="1"/>
  <c r="K162" i="7"/>
  <c r="Q162" i="7"/>
  <c r="O162" i="7"/>
  <c r="S162" i="7" s="1"/>
  <c r="Z162" i="7" l="1"/>
  <c r="J164" i="7"/>
  <c r="I165" i="7"/>
  <c r="N163" i="7"/>
  <c r="R163" i="7" s="1"/>
  <c r="K163" i="7"/>
  <c r="O163" i="7"/>
  <c r="S163" i="7" s="1"/>
  <c r="Q163" i="7"/>
  <c r="P163" i="7"/>
  <c r="AA162" i="7"/>
  <c r="AA163" i="7" l="1"/>
  <c r="Z163" i="7"/>
  <c r="J165" i="7"/>
  <c r="I166" i="7"/>
  <c r="Q164" i="7"/>
  <c r="P164" i="7"/>
  <c r="O164" i="7"/>
  <c r="S164" i="7" s="1"/>
  <c r="N164" i="7"/>
  <c r="R164" i="7" s="1"/>
  <c r="K164" i="7"/>
  <c r="Z164" i="7" l="1"/>
  <c r="AA164" i="7"/>
  <c r="J166" i="7"/>
  <c r="I167" i="7"/>
  <c r="Q165" i="7"/>
  <c r="P165" i="7"/>
  <c r="K165" i="7"/>
  <c r="N165" i="7"/>
  <c r="R165" i="7" s="1"/>
  <c r="O165" i="7"/>
  <c r="S165" i="7" s="1"/>
  <c r="J167" i="7" l="1"/>
  <c r="I168" i="7"/>
  <c r="Z165" i="7"/>
  <c r="N166" i="7"/>
  <c r="R166" i="7" s="1"/>
  <c r="K166" i="7"/>
  <c r="P166" i="7"/>
  <c r="Q166" i="7"/>
  <c r="O166" i="7"/>
  <c r="S166" i="7" s="1"/>
  <c r="AA165" i="7"/>
  <c r="AA166" i="7" l="1"/>
  <c r="Z166" i="7"/>
  <c r="J168" i="7"/>
  <c r="I169" i="7"/>
  <c r="Q167" i="7"/>
  <c r="P167" i="7"/>
  <c r="O167" i="7"/>
  <c r="S167" i="7" s="1"/>
  <c r="N167" i="7"/>
  <c r="R167" i="7" s="1"/>
  <c r="K167" i="7"/>
  <c r="AA167" i="7" l="1"/>
  <c r="Z167" i="7"/>
  <c r="J169" i="7"/>
  <c r="I170" i="7"/>
  <c r="O168" i="7"/>
  <c r="S168" i="7" s="1"/>
  <c r="N168" i="7"/>
  <c r="R168" i="7" s="1"/>
  <c r="K168" i="7"/>
  <c r="Q168" i="7"/>
  <c r="P168" i="7"/>
  <c r="AA168" i="7" l="1"/>
  <c r="Z168" i="7"/>
  <c r="J170" i="7"/>
  <c r="I171" i="7"/>
  <c r="K169" i="7"/>
  <c r="N169" i="7"/>
  <c r="R169" i="7" s="1"/>
  <c r="O169" i="7"/>
  <c r="S169" i="7" s="1"/>
  <c r="P169" i="7"/>
  <c r="Q169" i="7"/>
  <c r="AA169" i="7" l="1"/>
  <c r="P170" i="7"/>
  <c r="O170" i="7"/>
  <c r="S170" i="7" s="1"/>
  <c r="N170" i="7"/>
  <c r="R170" i="7" s="1"/>
  <c r="Q170" i="7"/>
  <c r="K170" i="7"/>
  <c r="Z169" i="7"/>
  <c r="J171" i="7"/>
  <c r="I172" i="7"/>
  <c r="Q171" i="7" l="1"/>
  <c r="P171" i="7"/>
  <c r="K171" i="7"/>
  <c r="N171" i="7"/>
  <c r="R171" i="7" s="1"/>
  <c r="O171" i="7"/>
  <c r="S171" i="7" s="1"/>
  <c r="Z170" i="7"/>
  <c r="AA170" i="7"/>
  <c r="J172" i="7"/>
  <c r="I173" i="7"/>
  <c r="Q172" i="7" l="1"/>
  <c r="P172" i="7"/>
  <c r="O172" i="7"/>
  <c r="S172" i="7" s="1"/>
  <c r="N172" i="7"/>
  <c r="R172" i="7" s="1"/>
  <c r="K172" i="7"/>
  <c r="AA171" i="7"/>
  <c r="Z171" i="7"/>
  <c r="J173" i="7"/>
  <c r="I174" i="7"/>
  <c r="O173" i="7" l="1"/>
  <c r="S173" i="7" s="1"/>
  <c r="N173" i="7"/>
  <c r="R173" i="7" s="1"/>
  <c r="K173" i="7"/>
  <c r="Q173" i="7"/>
  <c r="P173" i="7"/>
  <c r="Z172" i="7"/>
  <c r="AA172" i="7"/>
  <c r="J174" i="7"/>
  <c r="I175" i="7"/>
  <c r="Q174" i="7" l="1"/>
  <c r="P174" i="7"/>
  <c r="O174" i="7"/>
  <c r="S174" i="7" s="1"/>
  <c r="K174" i="7"/>
  <c r="N174" i="7"/>
  <c r="R174" i="7" s="1"/>
  <c r="Z173" i="7"/>
  <c r="J175" i="7"/>
  <c r="I176" i="7"/>
  <c r="AA173" i="7"/>
  <c r="O175" i="7" l="1"/>
  <c r="S175" i="7" s="1"/>
  <c r="P175" i="7"/>
  <c r="N175" i="7"/>
  <c r="R175" i="7" s="1"/>
  <c r="K175" i="7"/>
  <c r="Q175" i="7"/>
  <c r="Z174" i="7"/>
  <c r="J176" i="7"/>
  <c r="I177" i="7"/>
  <c r="AA174" i="7"/>
  <c r="J177" i="7" l="1"/>
  <c r="I178" i="7"/>
  <c r="N176" i="7"/>
  <c r="R176" i="7" s="1"/>
  <c r="K176" i="7"/>
  <c r="Q176" i="7"/>
  <c r="O176" i="7"/>
  <c r="S176" i="7" s="1"/>
  <c r="P176" i="7"/>
  <c r="Z175" i="7"/>
  <c r="AA175" i="7"/>
  <c r="AA176" i="7" l="1"/>
  <c r="Z176" i="7"/>
  <c r="J178" i="7"/>
  <c r="I179" i="7"/>
  <c r="Q177" i="7"/>
  <c r="P177" i="7"/>
  <c r="O177" i="7"/>
  <c r="S177" i="7" s="1"/>
  <c r="N177" i="7"/>
  <c r="R177" i="7" s="1"/>
  <c r="K177" i="7"/>
  <c r="Z177" i="7" l="1"/>
  <c r="AA177" i="7"/>
  <c r="J179" i="7"/>
  <c r="I180" i="7"/>
  <c r="K178" i="7"/>
  <c r="Q178" i="7"/>
  <c r="N178" i="7"/>
  <c r="R178" i="7" s="1"/>
  <c r="O178" i="7"/>
  <c r="S178" i="7" s="1"/>
  <c r="P178" i="7"/>
  <c r="AA178" i="7" l="1"/>
  <c r="Z178" i="7"/>
  <c r="J180" i="7"/>
  <c r="I181" i="7"/>
  <c r="K179" i="7"/>
  <c r="Q179" i="7"/>
  <c r="O179" i="7"/>
  <c r="S179" i="7" s="1"/>
  <c r="N179" i="7"/>
  <c r="R179" i="7" s="1"/>
  <c r="P179" i="7"/>
  <c r="Z179" i="7" l="1"/>
  <c r="AA179" i="7"/>
  <c r="P180" i="7"/>
  <c r="O180" i="7"/>
  <c r="S180" i="7" s="1"/>
  <c r="N180" i="7"/>
  <c r="R180" i="7" s="1"/>
  <c r="Q180" i="7"/>
  <c r="K180" i="7"/>
  <c r="J181" i="7"/>
  <c r="I182" i="7"/>
  <c r="AA180" i="7" l="1"/>
  <c r="Q181" i="7"/>
  <c r="P181" i="7"/>
  <c r="O181" i="7"/>
  <c r="S181" i="7" s="1"/>
  <c r="N181" i="7"/>
  <c r="R181" i="7" s="1"/>
  <c r="K181" i="7"/>
  <c r="Z180" i="7"/>
  <c r="J182" i="7"/>
  <c r="I183" i="7"/>
  <c r="AA181" i="7" l="1"/>
  <c r="O182" i="7"/>
  <c r="S182" i="7" s="1"/>
  <c r="P182" i="7"/>
  <c r="N182" i="7"/>
  <c r="R182" i="7" s="1"/>
  <c r="K182" i="7"/>
  <c r="Q182" i="7"/>
  <c r="Z181" i="7"/>
  <c r="J183" i="7"/>
  <c r="I184" i="7"/>
  <c r="O183" i="7" l="1"/>
  <c r="S183" i="7" s="1"/>
  <c r="N183" i="7"/>
  <c r="R183" i="7" s="1"/>
  <c r="K183" i="7"/>
  <c r="Q183" i="7"/>
  <c r="P183" i="7"/>
  <c r="Z182" i="7"/>
  <c r="AA182" i="7"/>
  <c r="J184" i="7"/>
  <c r="I185" i="7"/>
  <c r="P184" i="7" l="1"/>
  <c r="Q184" i="7"/>
  <c r="K184" i="7"/>
  <c r="O184" i="7"/>
  <c r="S184" i="7" s="1"/>
  <c r="N184" i="7"/>
  <c r="R184" i="7" s="1"/>
  <c r="Z183" i="7"/>
  <c r="J185" i="7"/>
  <c r="I186" i="7"/>
  <c r="AA183" i="7"/>
  <c r="J186" i="7" l="1"/>
  <c r="I187" i="7"/>
  <c r="Q185" i="7"/>
  <c r="O185" i="7"/>
  <c r="S185" i="7" s="1"/>
  <c r="N185" i="7"/>
  <c r="R185" i="7" s="1"/>
  <c r="K185" i="7"/>
  <c r="P185" i="7"/>
  <c r="Z184" i="7"/>
  <c r="AA184" i="7"/>
  <c r="Z185" i="7" l="1"/>
  <c r="AA185" i="7"/>
  <c r="J187" i="7"/>
  <c r="I188" i="7"/>
  <c r="N186" i="7"/>
  <c r="R186" i="7" s="1"/>
  <c r="K186" i="7"/>
  <c r="Q186" i="7"/>
  <c r="P186" i="7"/>
  <c r="O186" i="7"/>
  <c r="S186" i="7" s="1"/>
  <c r="J188" i="7" l="1"/>
  <c r="I189" i="7"/>
  <c r="Z186" i="7"/>
  <c r="O187" i="7"/>
  <c r="S187" i="7" s="1"/>
  <c r="N187" i="7"/>
  <c r="R187" i="7" s="1"/>
  <c r="K187" i="7"/>
  <c r="Q187" i="7"/>
  <c r="P187" i="7"/>
  <c r="AA186" i="7"/>
  <c r="Z187" i="7" l="1"/>
  <c r="AA187" i="7"/>
  <c r="J189" i="7"/>
  <c r="I190" i="7"/>
  <c r="Q188" i="7"/>
  <c r="P188" i="7"/>
  <c r="K188" i="7"/>
  <c r="O188" i="7"/>
  <c r="S188" i="7" s="1"/>
  <c r="N188" i="7"/>
  <c r="R188" i="7" s="1"/>
  <c r="Q189" i="7" l="1"/>
  <c r="P189" i="7"/>
  <c r="O189" i="7"/>
  <c r="S189" i="7" s="1"/>
  <c r="N189" i="7"/>
  <c r="R189" i="7" s="1"/>
  <c r="K189" i="7"/>
  <c r="AA188" i="7"/>
  <c r="J190" i="7"/>
  <c r="I191" i="7"/>
  <c r="Z188" i="7"/>
  <c r="N190" i="7" l="1"/>
  <c r="R190" i="7" s="1"/>
  <c r="K190" i="7"/>
  <c r="P190" i="7"/>
  <c r="O190" i="7"/>
  <c r="S190" i="7" s="1"/>
  <c r="Q190" i="7"/>
  <c r="AA189" i="7"/>
  <c r="J191" i="7"/>
  <c r="I192" i="7"/>
  <c r="Z189" i="7"/>
  <c r="Q191" i="7" l="1"/>
  <c r="P191" i="7"/>
  <c r="O191" i="7"/>
  <c r="S191" i="7" s="1"/>
  <c r="N191" i="7"/>
  <c r="R191" i="7" s="1"/>
  <c r="K191" i="7"/>
  <c r="J192" i="7"/>
  <c r="I193" i="7"/>
  <c r="AA190" i="7"/>
  <c r="Z190" i="7"/>
  <c r="J193" i="7" l="1"/>
  <c r="I194" i="7"/>
  <c r="K192" i="7"/>
  <c r="Q192" i="7"/>
  <c r="N192" i="7"/>
  <c r="R192" i="7" s="1"/>
  <c r="O192" i="7"/>
  <c r="S192" i="7" s="1"/>
  <c r="P192" i="7"/>
  <c r="AA191" i="7"/>
  <c r="Z191" i="7"/>
  <c r="AA192" i="7" l="1"/>
  <c r="Z192" i="7"/>
  <c r="J194" i="7"/>
  <c r="I195" i="7"/>
  <c r="K193" i="7"/>
  <c r="Q193" i="7"/>
  <c r="N193" i="7"/>
  <c r="R193" i="7" s="1"/>
  <c r="O193" i="7"/>
  <c r="S193" i="7" s="1"/>
  <c r="P193" i="7"/>
  <c r="AA193" i="7" l="1"/>
  <c r="Z193" i="7"/>
  <c r="J195" i="7"/>
  <c r="I196" i="7"/>
  <c r="P194" i="7"/>
  <c r="O194" i="7"/>
  <c r="S194" i="7" s="1"/>
  <c r="N194" i="7"/>
  <c r="R194" i="7" s="1"/>
  <c r="Q194" i="7"/>
  <c r="K194" i="7"/>
  <c r="Z194" i="7" l="1"/>
  <c r="AA194" i="7"/>
  <c r="J196" i="7"/>
  <c r="I197" i="7"/>
  <c r="Q195" i="7"/>
  <c r="K195" i="7"/>
  <c r="P195" i="7"/>
  <c r="N195" i="7"/>
  <c r="R195" i="7" s="1"/>
  <c r="O195" i="7"/>
  <c r="S195" i="7" s="1"/>
  <c r="Z195" i="7" l="1"/>
  <c r="O196" i="7"/>
  <c r="S196" i="7" s="1"/>
  <c r="P196" i="7"/>
  <c r="N196" i="7"/>
  <c r="R196" i="7" s="1"/>
  <c r="K196" i="7"/>
  <c r="Q196" i="7"/>
  <c r="J197" i="7"/>
  <c r="I198" i="7"/>
  <c r="AA195" i="7"/>
  <c r="Z196" i="7" l="1"/>
  <c r="J198" i="7"/>
  <c r="I199" i="7"/>
  <c r="O197" i="7"/>
  <c r="S197" i="7" s="1"/>
  <c r="N197" i="7"/>
  <c r="R197" i="7" s="1"/>
  <c r="K197" i="7"/>
  <c r="P197" i="7"/>
  <c r="Q197" i="7"/>
  <c r="AA196" i="7"/>
  <c r="Z197" i="7" l="1"/>
  <c r="AA197" i="7"/>
  <c r="J199" i="7"/>
  <c r="I200" i="7"/>
  <c r="Q198" i="7"/>
  <c r="P198" i="7"/>
  <c r="O198" i="7"/>
  <c r="S198" i="7" s="1"/>
  <c r="N198" i="7"/>
  <c r="R198" i="7" s="1"/>
  <c r="K198" i="7"/>
  <c r="Z198" i="7" l="1"/>
  <c r="AA198" i="7"/>
  <c r="J200" i="7"/>
  <c r="I201" i="7"/>
  <c r="O199" i="7"/>
  <c r="S199" i="7" s="1"/>
  <c r="N199" i="7"/>
  <c r="R199" i="7" s="1"/>
  <c r="K199" i="7"/>
  <c r="Q199" i="7"/>
  <c r="P199" i="7"/>
  <c r="AA199" i="7" l="1"/>
  <c r="Z199" i="7"/>
  <c r="J201" i="7"/>
  <c r="I202" i="7"/>
  <c r="N200" i="7"/>
  <c r="R200" i="7" s="1"/>
  <c r="K200" i="7"/>
  <c r="Q200" i="7"/>
  <c r="O200" i="7"/>
  <c r="S200" i="7" s="1"/>
  <c r="P200" i="7"/>
  <c r="Q201" i="7" l="1"/>
  <c r="P201" i="7"/>
  <c r="K201" i="7"/>
  <c r="N201" i="7"/>
  <c r="R201" i="7" s="1"/>
  <c r="O201" i="7"/>
  <c r="S201" i="7" s="1"/>
  <c r="AA200" i="7"/>
  <c r="Z200" i="7"/>
  <c r="J202" i="7"/>
  <c r="I203" i="7"/>
  <c r="K202" i="7" l="1"/>
  <c r="N202" i="7"/>
  <c r="R202" i="7" s="1"/>
  <c r="P202" i="7"/>
  <c r="O202" i="7"/>
  <c r="S202" i="7" s="1"/>
  <c r="Q202" i="7"/>
  <c r="Z201" i="7"/>
  <c r="AA201" i="7"/>
  <c r="J203" i="7"/>
  <c r="I204" i="7"/>
  <c r="AA202" i="7" l="1"/>
  <c r="P203" i="7"/>
  <c r="Q203" i="7"/>
  <c r="O203" i="7"/>
  <c r="S203" i="7" s="1"/>
  <c r="N203" i="7"/>
  <c r="R203" i="7" s="1"/>
  <c r="K203" i="7"/>
  <c r="Z202" i="7"/>
  <c r="J204" i="7"/>
  <c r="I205" i="7"/>
  <c r="AA203" i="7" l="1"/>
  <c r="Q204" i="7"/>
  <c r="P204" i="7"/>
  <c r="O204" i="7"/>
  <c r="S204" i="7" s="1"/>
  <c r="K204" i="7"/>
  <c r="N204" i="7"/>
  <c r="R204" i="7" s="1"/>
  <c r="Z203" i="7"/>
  <c r="J205" i="7"/>
  <c r="I206" i="7"/>
  <c r="AA204" i="7" l="1"/>
  <c r="Q205" i="7"/>
  <c r="P205" i="7"/>
  <c r="O205" i="7"/>
  <c r="S205" i="7" s="1"/>
  <c r="N205" i="7"/>
  <c r="R205" i="7" s="1"/>
  <c r="K205" i="7"/>
  <c r="Z204" i="7"/>
  <c r="J206" i="7"/>
  <c r="I207" i="7"/>
  <c r="O206" i="7" l="1"/>
  <c r="S206" i="7" s="1"/>
  <c r="N206" i="7"/>
  <c r="R206" i="7" s="1"/>
  <c r="K206" i="7"/>
  <c r="Q206" i="7"/>
  <c r="P206" i="7"/>
  <c r="Z205" i="7"/>
  <c r="AA205" i="7"/>
  <c r="J207" i="7"/>
  <c r="I208" i="7"/>
  <c r="O207" i="7" l="1"/>
  <c r="S207" i="7" s="1"/>
  <c r="N207" i="7"/>
  <c r="R207" i="7" s="1"/>
  <c r="K207" i="7"/>
  <c r="Q207" i="7"/>
  <c r="P207" i="7"/>
  <c r="Z206" i="7"/>
  <c r="J208" i="7"/>
  <c r="I209" i="7"/>
  <c r="AA206" i="7"/>
  <c r="K208" i="7" l="1"/>
  <c r="P208" i="7"/>
  <c r="N208" i="7"/>
  <c r="R208" i="7" s="1"/>
  <c r="Q208" i="7"/>
  <c r="O208" i="7"/>
  <c r="S208" i="7" s="1"/>
  <c r="J209" i="7"/>
  <c r="I210" i="7"/>
  <c r="Z207" i="7"/>
  <c r="AA207" i="7"/>
  <c r="J210" i="7" l="1"/>
  <c r="I211" i="7"/>
  <c r="N209" i="7"/>
  <c r="R209" i="7" s="1"/>
  <c r="O209" i="7"/>
  <c r="S209" i="7" s="1"/>
  <c r="K209" i="7"/>
  <c r="Q209" i="7"/>
  <c r="P209" i="7"/>
  <c r="AA208" i="7"/>
  <c r="Z208" i="7"/>
  <c r="AA209" i="7" l="1"/>
  <c r="Z209" i="7"/>
  <c r="J211" i="7"/>
  <c r="I212" i="7"/>
  <c r="Q210" i="7"/>
  <c r="N210" i="7"/>
  <c r="R210" i="7" s="1"/>
  <c r="O210" i="7"/>
  <c r="S210" i="7" s="1"/>
  <c r="P210" i="7"/>
  <c r="K210" i="7"/>
  <c r="AA210" i="7" l="1"/>
  <c r="Z210" i="7"/>
  <c r="J212" i="7"/>
  <c r="I213" i="7"/>
  <c r="N211" i="7"/>
  <c r="R211" i="7" s="1"/>
  <c r="K211" i="7"/>
  <c r="O211" i="7"/>
  <c r="S211" i="7" s="1"/>
  <c r="P211" i="7"/>
  <c r="Q211" i="7"/>
  <c r="Z211" i="7" l="1"/>
  <c r="K212" i="7"/>
  <c r="Q212" i="7"/>
  <c r="P212" i="7"/>
  <c r="O212" i="7"/>
  <c r="S212" i="7" s="1"/>
  <c r="N212" i="7"/>
  <c r="R212" i="7" s="1"/>
  <c r="AA211" i="7"/>
  <c r="J213" i="7"/>
  <c r="I214" i="7"/>
  <c r="P213" i="7" l="1"/>
  <c r="K213" i="7"/>
  <c r="N213" i="7"/>
  <c r="R213" i="7" s="1"/>
  <c r="O213" i="7"/>
  <c r="S213" i="7" s="1"/>
  <c r="Q213" i="7"/>
  <c r="Z212" i="7"/>
  <c r="AA212" i="7"/>
  <c r="J214" i="7"/>
  <c r="I215" i="7"/>
  <c r="Q214" i="7" l="1"/>
  <c r="P214" i="7"/>
  <c r="O214" i="7"/>
  <c r="S214" i="7" s="1"/>
  <c r="N214" i="7"/>
  <c r="R214" i="7" s="1"/>
  <c r="K214" i="7"/>
  <c r="AA213" i="7"/>
  <c r="Z213" i="7"/>
  <c r="J215" i="7"/>
  <c r="I216" i="7"/>
  <c r="Z214" i="7" l="1"/>
  <c r="O215" i="7"/>
  <c r="S215" i="7" s="1"/>
  <c r="K215" i="7"/>
  <c r="N215" i="7"/>
  <c r="R215" i="7" s="1"/>
  <c r="Q215" i="7"/>
  <c r="P215" i="7"/>
  <c r="AA214" i="7"/>
  <c r="J216" i="7"/>
  <c r="I217" i="7"/>
  <c r="P216" i="7" l="1"/>
  <c r="O216" i="7"/>
  <c r="S216" i="7" s="1"/>
  <c r="K216" i="7"/>
  <c r="N216" i="7"/>
  <c r="R216" i="7" s="1"/>
  <c r="Q216" i="7"/>
  <c r="Z215" i="7"/>
  <c r="AA215" i="7"/>
  <c r="J217" i="7"/>
  <c r="I218" i="7"/>
  <c r="Z216" i="7" l="1"/>
  <c r="Q217" i="7"/>
  <c r="P217" i="7"/>
  <c r="K217" i="7"/>
  <c r="N217" i="7"/>
  <c r="R217" i="7" s="1"/>
  <c r="O217" i="7"/>
  <c r="S217" i="7" s="1"/>
  <c r="AA216" i="7"/>
  <c r="J218" i="7"/>
  <c r="I219" i="7"/>
  <c r="N218" i="7" l="1"/>
  <c r="R218" i="7" s="1"/>
  <c r="Q218" i="7"/>
  <c r="P218" i="7"/>
  <c r="O218" i="7"/>
  <c r="S218" i="7" s="1"/>
  <c r="K218" i="7"/>
  <c r="Z217" i="7"/>
  <c r="AA217" i="7"/>
  <c r="J219" i="7"/>
  <c r="I220" i="7"/>
  <c r="Q219" i="7" l="1"/>
  <c r="O219" i="7"/>
  <c r="S219" i="7" s="1"/>
  <c r="N219" i="7"/>
  <c r="R219" i="7" s="1"/>
  <c r="K219" i="7"/>
  <c r="P219" i="7"/>
  <c r="AA218" i="7"/>
  <c r="J220" i="7"/>
  <c r="I221" i="7"/>
  <c r="Z218" i="7"/>
  <c r="J221" i="7" l="1"/>
  <c r="I222" i="7"/>
  <c r="Q220" i="7"/>
  <c r="O220" i="7"/>
  <c r="S220" i="7" s="1"/>
  <c r="K220" i="7"/>
  <c r="N220" i="7"/>
  <c r="R220" i="7" s="1"/>
  <c r="P220" i="7"/>
  <c r="Z219" i="7"/>
  <c r="AA219" i="7"/>
  <c r="Z220" i="7" l="1"/>
  <c r="AA220" i="7"/>
  <c r="J222" i="7"/>
  <c r="I223" i="7"/>
  <c r="K221" i="7"/>
  <c r="N221" i="7"/>
  <c r="R221" i="7" s="1"/>
  <c r="P221" i="7"/>
  <c r="Q221" i="7"/>
  <c r="O221" i="7"/>
  <c r="S221" i="7" s="1"/>
  <c r="P222" i="7" l="1"/>
  <c r="N222" i="7"/>
  <c r="R222" i="7" s="1"/>
  <c r="K222" i="7"/>
  <c r="Q222" i="7"/>
  <c r="O222" i="7"/>
  <c r="S222" i="7" s="1"/>
  <c r="Z221" i="7"/>
  <c r="J223" i="7"/>
  <c r="I224" i="7"/>
  <c r="AA221" i="7"/>
  <c r="Q223" i="7" l="1"/>
  <c r="P223" i="7"/>
  <c r="O223" i="7"/>
  <c r="S223" i="7" s="1"/>
  <c r="N223" i="7"/>
  <c r="R223" i="7" s="1"/>
  <c r="K223" i="7"/>
  <c r="AA222" i="7"/>
  <c r="J224" i="7"/>
  <c r="I225" i="7"/>
  <c r="Z222" i="7"/>
  <c r="J225" i="7" l="1"/>
  <c r="I226" i="7"/>
  <c r="AA223" i="7"/>
  <c r="N224" i="7"/>
  <c r="R224" i="7" s="1"/>
  <c r="K224" i="7"/>
  <c r="O224" i="7"/>
  <c r="S224" i="7" s="1"/>
  <c r="Q224" i="7"/>
  <c r="P224" i="7"/>
  <c r="Z223" i="7"/>
  <c r="AA224" i="7" l="1"/>
  <c r="Z224" i="7"/>
  <c r="J226" i="7"/>
  <c r="I227" i="7"/>
  <c r="O225" i="7"/>
  <c r="S225" i="7" s="1"/>
  <c r="K225" i="7"/>
  <c r="P225" i="7"/>
  <c r="N225" i="7"/>
  <c r="R225" i="7" s="1"/>
  <c r="Q225" i="7"/>
  <c r="Z225" i="7" l="1"/>
  <c r="AA225" i="7"/>
  <c r="P226" i="7"/>
  <c r="O226" i="7"/>
  <c r="S226" i="7" s="1"/>
  <c r="Q226" i="7"/>
  <c r="N226" i="7"/>
  <c r="R226" i="7" s="1"/>
  <c r="K226" i="7"/>
  <c r="J227" i="7"/>
  <c r="I228" i="7"/>
  <c r="P227" i="7" l="1"/>
  <c r="O227" i="7"/>
  <c r="S227" i="7" s="1"/>
  <c r="N227" i="7"/>
  <c r="R227" i="7" s="1"/>
  <c r="Q227" i="7"/>
  <c r="K227" i="7"/>
  <c r="Z226" i="7"/>
  <c r="AA226" i="7"/>
  <c r="J228" i="7"/>
  <c r="I229" i="7"/>
  <c r="N228" i="7" l="1"/>
  <c r="R228" i="7" s="1"/>
  <c r="O228" i="7"/>
  <c r="S228" i="7" s="1"/>
  <c r="K228" i="7"/>
  <c r="P228" i="7"/>
  <c r="Q228" i="7"/>
  <c r="Z227" i="7"/>
  <c r="AA227" i="7"/>
  <c r="J229" i="7"/>
  <c r="I230" i="7"/>
  <c r="Q229" i="7" l="1"/>
  <c r="O229" i="7"/>
  <c r="S229" i="7" s="1"/>
  <c r="N229" i="7"/>
  <c r="R229" i="7" s="1"/>
  <c r="P229" i="7"/>
  <c r="K229" i="7"/>
  <c r="AA228" i="7"/>
  <c r="J230" i="7"/>
  <c r="I231" i="7"/>
  <c r="Z228" i="7"/>
  <c r="J231" i="7" l="1"/>
  <c r="I232" i="7"/>
  <c r="Q230" i="7"/>
  <c r="K230" i="7"/>
  <c r="O230" i="7"/>
  <c r="S230" i="7" s="1"/>
  <c r="P230" i="7"/>
  <c r="N230" i="7"/>
  <c r="R230" i="7" s="1"/>
  <c r="Z229" i="7"/>
  <c r="AA229" i="7"/>
  <c r="Z230" i="7" l="1"/>
  <c r="AA230" i="7"/>
  <c r="J232" i="7"/>
  <c r="I233" i="7"/>
  <c r="K231" i="7"/>
  <c r="Q231" i="7"/>
  <c r="P231" i="7"/>
  <c r="N231" i="7"/>
  <c r="R231" i="7" s="1"/>
  <c r="O231" i="7"/>
  <c r="S231" i="7" s="1"/>
  <c r="P232" i="7" l="1"/>
  <c r="N232" i="7"/>
  <c r="R232" i="7" s="1"/>
  <c r="K232" i="7"/>
  <c r="Q232" i="7"/>
  <c r="O232" i="7"/>
  <c r="S232" i="7" s="1"/>
  <c r="Z231" i="7"/>
  <c r="J233" i="7"/>
  <c r="I234" i="7"/>
  <c r="AA231" i="7"/>
  <c r="AA232" i="7" l="1"/>
  <c r="J234" i="7"/>
  <c r="I235" i="7"/>
  <c r="Q233" i="7"/>
  <c r="P233" i="7"/>
  <c r="K233" i="7"/>
  <c r="N233" i="7"/>
  <c r="R233" i="7" s="1"/>
  <c r="O233" i="7"/>
  <c r="S233" i="7" s="1"/>
  <c r="Z232" i="7"/>
  <c r="Z233" i="7" l="1"/>
  <c r="AA233" i="7"/>
  <c r="J235" i="7"/>
  <c r="I236" i="7"/>
  <c r="P234" i="7"/>
  <c r="K234" i="7"/>
  <c r="Q234" i="7"/>
  <c r="N234" i="7"/>
  <c r="R234" i="7" s="1"/>
  <c r="O234" i="7"/>
  <c r="S234" i="7" s="1"/>
  <c r="Z234" i="7" l="1"/>
  <c r="J236" i="7"/>
  <c r="I237" i="7"/>
  <c r="O235" i="7"/>
  <c r="S235" i="7" s="1"/>
  <c r="K235" i="7"/>
  <c r="N235" i="7"/>
  <c r="R235" i="7" s="1"/>
  <c r="P235" i="7"/>
  <c r="Q235" i="7"/>
  <c r="AA234" i="7"/>
  <c r="Z235" i="7" l="1"/>
  <c r="AA235" i="7"/>
  <c r="J237" i="7"/>
  <c r="I238" i="7"/>
  <c r="P236" i="7"/>
  <c r="O236" i="7"/>
  <c r="S236" i="7" s="1"/>
  <c r="Q236" i="7"/>
  <c r="N236" i="7"/>
  <c r="R236" i="7" s="1"/>
  <c r="K236" i="7"/>
  <c r="Z236" i="7" l="1"/>
  <c r="AA236" i="7"/>
  <c r="J238" i="7"/>
  <c r="I239" i="7"/>
  <c r="N237" i="7"/>
  <c r="R237" i="7" s="1"/>
  <c r="K237" i="7"/>
  <c r="Q237" i="7"/>
  <c r="P237" i="7"/>
  <c r="O237" i="7"/>
  <c r="S237" i="7" s="1"/>
  <c r="Z237" i="7" l="1"/>
  <c r="J239" i="7"/>
  <c r="I240" i="7"/>
  <c r="N238" i="7"/>
  <c r="R238" i="7" s="1"/>
  <c r="Q238" i="7"/>
  <c r="O238" i="7"/>
  <c r="S238" i="7" s="1"/>
  <c r="K238" i="7"/>
  <c r="P238" i="7"/>
  <c r="AA237" i="7"/>
  <c r="AA238" i="7" l="1"/>
  <c r="Z238" i="7"/>
  <c r="J240" i="7"/>
  <c r="I241" i="7"/>
  <c r="Q239" i="7"/>
  <c r="O239" i="7"/>
  <c r="S239" i="7" s="1"/>
  <c r="N239" i="7"/>
  <c r="R239" i="7" s="1"/>
  <c r="P239" i="7"/>
  <c r="K239" i="7"/>
  <c r="AA239" i="7" l="1"/>
  <c r="J241" i="7"/>
  <c r="I242" i="7"/>
  <c r="Z239" i="7"/>
  <c r="Q240" i="7"/>
  <c r="P240" i="7"/>
  <c r="O240" i="7"/>
  <c r="S240" i="7" s="1"/>
  <c r="N240" i="7"/>
  <c r="R240" i="7" s="1"/>
  <c r="K240" i="7"/>
  <c r="Z240" i="7" l="1"/>
  <c r="AA240" i="7"/>
  <c r="J242" i="7"/>
  <c r="I243" i="7"/>
  <c r="K241" i="7"/>
  <c r="P241" i="7"/>
  <c r="O241" i="7"/>
  <c r="S241" i="7" s="1"/>
  <c r="N241" i="7"/>
  <c r="R241" i="7" s="1"/>
  <c r="Q241" i="7"/>
  <c r="Z241" i="7" l="1"/>
  <c r="Q242" i="7"/>
  <c r="P242" i="7"/>
  <c r="N242" i="7"/>
  <c r="R242" i="7" s="1"/>
  <c r="K242" i="7"/>
  <c r="O242" i="7"/>
  <c r="S242" i="7" s="1"/>
  <c r="AA241" i="7"/>
  <c r="J243" i="7"/>
  <c r="I244" i="7"/>
  <c r="Q243" i="7" l="1"/>
  <c r="P243" i="7"/>
  <c r="K243" i="7"/>
  <c r="N243" i="7"/>
  <c r="R243" i="7" s="1"/>
  <c r="O243" i="7"/>
  <c r="S243" i="7" s="1"/>
  <c r="AA242" i="7"/>
  <c r="Z242" i="7"/>
  <c r="J244" i="7"/>
  <c r="I245" i="7"/>
  <c r="AA243" i="7" l="1"/>
  <c r="K244" i="7"/>
  <c r="O244" i="7"/>
  <c r="S244" i="7" s="1"/>
  <c r="N244" i="7"/>
  <c r="R244" i="7" s="1"/>
  <c r="Q244" i="7"/>
  <c r="P244" i="7"/>
  <c r="Z243" i="7"/>
  <c r="J245" i="7"/>
  <c r="I246" i="7"/>
  <c r="P245" i="7" l="1"/>
  <c r="O245" i="7"/>
  <c r="S245" i="7" s="1"/>
  <c r="K245" i="7"/>
  <c r="N245" i="7"/>
  <c r="R245" i="7" s="1"/>
  <c r="Q245" i="7"/>
  <c r="Z244" i="7"/>
  <c r="AA244" i="7"/>
  <c r="J246" i="7"/>
  <c r="I247" i="7"/>
  <c r="AA245" i="7" l="1"/>
  <c r="P246" i="7"/>
  <c r="O246" i="7"/>
  <c r="S246" i="7" s="1"/>
  <c r="N246" i="7"/>
  <c r="R246" i="7" s="1"/>
  <c r="K246" i="7"/>
  <c r="Q246" i="7"/>
  <c r="Z245" i="7"/>
  <c r="J247" i="7"/>
  <c r="I248" i="7"/>
  <c r="P247" i="7" l="1"/>
  <c r="O247" i="7"/>
  <c r="S247" i="7" s="1"/>
  <c r="N247" i="7"/>
  <c r="R247" i="7" s="1"/>
  <c r="Q247" i="7"/>
  <c r="K247" i="7"/>
  <c r="Z246" i="7"/>
  <c r="AA246" i="7"/>
  <c r="J248" i="7"/>
  <c r="I249" i="7"/>
  <c r="P248" i="7" l="1"/>
  <c r="O248" i="7"/>
  <c r="S248" i="7" s="1"/>
  <c r="N248" i="7"/>
  <c r="R248" i="7" s="1"/>
  <c r="Q248" i="7"/>
  <c r="K248" i="7"/>
  <c r="Z247" i="7"/>
  <c r="AA247" i="7"/>
  <c r="J249" i="7"/>
  <c r="I250" i="7"/>
  <c r="Q249" i="7" l="1"/>
  <c r="O249" i="7"/>
  <c r="S249" i="7" s="1"/>
  <c r="N249" i="7"/>
  <c r="R249" i="7" s="1"/>
  <c r="P249" i="7"/>
  <c r="K249" i="7"/>
  <c r="Z248" i="7"/>
  <c r="AA248" i="7"/>
  <c r="J250" i="7"/>
  <c r="I251" i="7"/>
  <c r="Q250" i="7" l="1"/>
  <c r="O250" i="7"/>
  <c r="S250" i="7" s="1"/>
  <c r="N250" i="7"/>
  <c r="R250" i="7" s="1"/>
  <c r="K250" i="7"/>
  <c r="P250" i="7"/>
  <c r="Z249" i="7"/>
  <c r="AA249" i="7"/>
  <c r="J251" i="7"/>
  <c r="I252" i="7"/>
  <c r="O251" i="7" l="1"/>
  <c r="S251" i="7" s="1"/>
  <c r="N251" i="7"/>
  <c r="R251" i="7" s="1"/>
  <c r="K251" i="7"/>
  <c r="Q251" i="7"/>
  <c r="P251" i="7"/>
  <c r="Z250" i="7"/>
  <c r="AA250" i="7"/>
  <c r="J252" i="7"/>
  <c r="I253" i="7"/>
  <c r="J253" i="7" s="1"/>
  <c r="Q252" i="7" l="1"/>
  <c r="P252" i="7"/>
  <c r="O252" i="7"/>
  <c r="S252" i="7" s="1"/>
  <c r="N252" i="7"/>
  <c r="R252" i="7" s="1"/>
  <c r="K252" i="7"/>
  <c r="Z251" i="7"/>
  <c r="Q253" i="7"/>
  <c r="P253" i="7"/>
  <c r="O253" i="7"/>
  <c r="S253" i="7" s="1"/>
  <c r="W20" i="7" s="1"/>
  <c r="N253" i="7"/>
  <c r="R253" i="7" s="1"/>
  <c r="K253" i="7"/>
  <c r="AA251" i="7"/>
  <c r="V20" i="7" l="1"/>
  <c r="AA253" i="7"/>
  <c r="W19" i="7"/>
  <c r="W17" i="7"/>
  <c r="W15" i="7"/>
  <c r="W16" i="7"/>
  <c r="Y19" i="7"/>
  <c r="Y17" i="7"/>
  <c r="Y16" i="7"/>
  <c r="Y15" i="7"/>
  <c r="Z252" i="7"/>
  <c r="X19" i="7"/>
  <c r="X16" i="7"/>
  <c r="X17" i="7"/>
  <c r="X18" i="7" s="1"/>
  <c r="X15" i="7"/>
  <c r="AA252" i="7"/>
  <c r="Z253" i="7"/>
  <c r="V19" i="7"/>
  <c r="V17" i="7"/>
  <c r="V15" i="7"/>
  <c r="V16" i="7"/>
  <c r="W18" i="7" l="1"/>
  <c r="V18" i="7"/>
  <c r="Y18" i="7"/>
  <c r="W7" i="7"/>
  <c r="W8" i="7" l="1"/>
  <c r="W9" i="7" s="1"/>
  <c r="W11" i="7" s="1"/>
  <c r="V8" i="7"/>
  <c r="V9" i="7" s="1"/>
  <c r="V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Hiteeksha Mathur Ghai</author>
    <author>tc={A11598EB-71D0-5447-8074-F62288857134}</author>
    <author>tc={AFB6D010-E933-214B-A5AF-7C871D41B2D4}</author>
  </authors>
  <commentList>
    <comment ref="K1" authorId="0" shapeId="0" xr:uid="{00000000-0006-0000-0500-000001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Lag-1 autocorrelation = estimated AR(1) φ, computed from all 250 real S&amp;P 500 returns (2023). Near-zero confirms the mean of returns is essentially unpredictable.</t>
        </r>
      </text>
    </comment>
    <comment ref="N1" authorId="0" shapeId="0" xr:uid="{00000000-0006-0000-0500-000002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 xml:space="preserve">Invertible MA(1) θ̂ estimated via method of moments:
</t>
        </r>
        <r>
          <rPr>
            <sz val="11"/>
            <color rgb="FF000000"/>
            <rFont val="Calibri"/>
            <family val="2"/>
            <charset val="1"/>
          </rPr>
          <t xml:space="preserve">  θ/(1+θ²) = ρ₁ = K1
</t>
        </r>
        <r>
          <rPr>
            <sz val="11"/>
            <color rgb="FF000000"/>
            <rFont val="Calibri"/>
            <family val="2"/>
            <charset val="1"/>
          </rPr>
          <t>Solving the quadratic gives two roots; this selects the invertible root |θ̂| &lt; 1.</t>
        </r>
      </text>
    </comment>
    <comment ref="L3" authorId="1" shapeId="0" xr:uid="{A11598EB-71D0-5447-8074-F62288857134}">
      <text>
        <t>[Threaded comment]
Your version of Excel allows you to read this threaded comment; however, any edits to it will get removed if the file is opened in a newer version of Excel. Learn more: https://go.microsoft.com/fwlink/?linkid=870924
Comment:
    J(t) [actual] = K(t) [fitted, φ̂×r(t-1)] + L(t) [residual/error]</t>
      </text>
    </comment>
    <comment ref="M3" authorId="2" shapeId="0" xr:uid="{AFB6D010-E933-214B-A5AF-7C871D41B2D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r(t) = ε(t) + θ·ε(t−1) ⇒ ε(t) = r(t) − θ·ε(t−1)</t>
      </text>
    </comment>
    <comment ref="C4" authorId="0" shapeId="0" xr:uid="{00000000-0006-0000-0500-000003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AR(1) initial seed — a random draw from N(0,1).</t>
        </r>
      </text>
    </comment>
    <comment ref="D4" authorId="0" shapeId="0" xr:uid="{00000000-0006-0000-0500-000004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MA(1) initial value = first shock ε(1), so y(1)=ε(1) with no lagged term yet.</t>
        </r>
      </text>
    </comment>
    <comment ref="E4" authorId="0" shapeId="0" xr:uid="{00000000-0006-0000-0500-000005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Random walk initial level — random starting point.</t>
        </r>
      </text>
    </comment>
    <comment ref="G4" authorId="0" shapeId="0" xr:uid="{00000000-0006-0000-0500-000006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MA and ARIMA models. Press F9 for a new simulation.</t>
        </r>
      </text>
    </comment>
    <comment ref="A5" authorId="0" shapeId="0" xr:uid="{00000000-0006-0000-0500-000007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AR model. Press F9 for a new simulation.</t>
        </r>
      </text>
    </comment>
    <comment ref="F5" authorId="0" shapeId="0" xr:uid="{00000000-0006-0000-0500-000008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Standard normal shock ε(t) for Random Walk. Press F9 for a new simulation.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Hiteeksha Mathur Ghai</author>
  </authors>
  <commentList>
    <comment ref="I1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Long-run variance floor (ω). Implied long-run daily vol = SQRT(0.000003/0.05) ≈ 0.77%/day ≈ 12% annual.</t>
        </r>
      </text>
    </comment>
    <comment ref="K1" authorId="0" shapeId="0" xr:uid="{00000000-0006-0000-0600-000002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News impact (ARCH term α). How much yesterday’s shock feeds into today’s variance.</t>
        </r>
      </text>
    </comment>
    <comment ref="M1" authorId="0" shapeId="0" xr:uid="{00000000-0006-0000-0600-000003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Persistence (GARCH term β). How much yesterday’s variance carries into today. α+β≈0.95 → very high persistence.</t>
        </r>
      </text>
    </comment>
    <comment ref="J3" authorId="0" shapeId="0" xr:uid="{00000000-0006-0000-0600-000004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Window size for rolling StdDev. Referenced as $J$3 in Column D.</t>
        </r>
      </text>
    </comment>
    <comment ref="I4" authorId="0" shapeId="0" xr:uid="{00000000-0006-0000-0600-000005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Seed: long-run unconditional variance = ω/(1−α−β). GARCH recursion initialised here.</t>
        </r>
      </text>
    </comment>
    <comment ref="J4" authorId="0" shapeId="0" xr:uid="{00000000-0006-0000-0600-000006000000}">
      <text>
        <r>
          <rPr>
            <sz val="11"/>
            <color rgb="FF000000"/>
            <rFont val="Calibri"/>
            <family val="2"/>
            <charset val="1"/>
          </rPr>
          <t xml:space="preserve">Hiteeksha Mathur Ghai:
</t>
        </r>
        <r>
          <rPr>
            <sz val="11"/>
            <color rgb="FF000000"/>
            <rFont val="Calibri"/>
            <family val="2"/>
            <charset val="1"/>
          </rPr>
          <t>Trading days per year. √252 converts daily vol to annualized. Referenced as $J$4 in Column E.</t>
        </r>
      </text>
    </comment>
    <comment ref="J5" authorId="0" shapeId="0" xr:uid="{00000000-0006-0000-0600-000007000000}">
      <text>
        <r>
          <rPr>
            <sz val="11"/>
            <color rgb="FF000000"/>
            <rFont val="Calibri"/>
            <family val="2"/>
            <charset val="1"/>
          </rPr>
          <t>Annualized vol threshold (%). Rows where Column E exceeds 22% are flagged in Column F. Referenced as $J$5.</t>
        </r>
      </text>
    </comment>
  </commentList>
</comments>
</file>

<file path=xl/sharedStrings.xml><?xml version="1.0" encoding="utf-8"?>
<sst xmlns="http://schemas.openxmlformats.org/spreadsheetml/2006/main" count="1046" uniqueCount="729">
  <si>
    <t>TIME SERIES MODELING IN QUANTITATIVE FINANCE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</si>
  <si>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</si>
  <si>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SERIES OVERVIEW</t>
  </si>
  <si>
    <t>TAB</t>
  </si>
  <si>
    <t>CONCEPT</t>
  </si>
  <si>
    <t>WHAT YOU WILL UNDERSTAND</t>
  </si>
  <si>
    <t>1 - RETURNS</t>
  </si>
  <si>
    <t>What are Financial Returns?</t>
  </si>
  <si>
    <t>Why we use log-returns, not prices; additivity across time</t>
  </si>
  <si>
    <t>'=LN(today/yesterday)*100  [built live in Excel]</t>
  </si>
  <si>
    <t>2 - STYLIZED FACTS</t>
  </si>
  <si>
    <t>How Returns Actually Behave</t>
  </si>
  <si>
    <t>Fat tails, near-zero autocorrelation, volatility clustering</t>
  </si>
  <si>
    <t>Histogram, return chart, squared-returns chart</t>
  </si>
  <si>
    <t>3 - STATIONARITY</t>
  </si>
  <si>
    <t>Why Prices Can't Be Modeled Directly</t>
  </si>
  <si>
    <t>What stationarity means and why returns satisfy it, prices don't</t>
  </si>
  <si>
    <t>Random walk vs. stationary process side-by-side</t>
  </si>
  <si>
    <t>4 - AUTOCORRELATION</t>
  </si>
  <si>
    <t>Does the Past Predict the Future?</t>
  </si>
  <si>
    <t>ACF computed manually; raw returns vs. squared returns</t>
  </si>
  <si>
    <t>CORREL function, hand-built ACF bar chart</t>
  </si>
  <si>
    <t>5 - ARIMA</t>
  </si>
  <si>
    <t>Modeling the Mean</t>
  </si>
  <si>
    <t>What AR, MA, and I each do in plain English; why ARIMA finds φ̂ ≈ −0.17 and R² ≈ 3% on a simulated illustrative series — ARIMA hands off to GARCH</t>
  </si>
  <si>
    <t>AR(1), MA(1), ARIMA(1,0,1) simulated &amp; fitted to a simulated illustrative return series; fitted vs. actual charts</t>
  </si>
  <si>
    <t>6 - GARCH MOTIVATION</t>
  </si>
  <si>
    <t>Volatility Modeling &amp; Risk Measurement</t>
  </si>
  <si>
    <t>GARCH(1,1) captures variance clustering; daily VaR 95%/99% &amp; Expected Shortfall derived from GARCH σ; Kupiec backtest confirms calibration; 3× vol range in the simulated series</t>
  </si>
  <si>
    <t>SECTION 1 — WHAT ARE FINANCIAL RETURNS?  [Prices below are a simulated illustrative series; base price = Dec 30, 2022; returns run Jan 3 – Dec 19, 2023]</t>
  </si>
  <si>
    <t>Date</t>
  </si>
  <si>
    <t>Price ($)</t>
  </si>
  <si>
    <t>Simple Return</t>
  </si>
  <si>
    <t>Log-Return</t>
  </si>
  <si>
    <t>Diff</t>
  </si>
  <si>
    <t>30-Dec-2022</t>
  </si>
  <si>
    <t>n/a</t>
  </si>
  <si>
    <t>WHY DO WE USE RETURNS, NOT PRICES?</t>
  </si>
  <si>
    <t>ADDITIVITY PROOF — Read alongside the explanation box</t>
  </si>
  <si>
    <t>03-Jan-2023</t>
  </si>
  <si>
    <t>Day 1 log-return</t>
  </si>
  <si>
    <t>04-Jan-2023</t>
  </si>
  <si>
    <t>A stock price on its own tells you almost nothing without context.</t>
  </si>
  <si>
    <t>Day 2 log-return</t>
  </si>
  <si>
    <t>05-Jan-2023</t>
  </si>
  <si>
    <t>A price of $4,500 is high for one stock and cheap for another.</t>
  </si>
  <si>
    <t>2-day log-return (direct)</t>
  </si>
  <si>
    <t>06-Jan-2023</t>
  </si>
  <si>
    <t>Returns — percentage changes from one day to the next — are</t>
  </si>
  <si>
    <t>Sum of day 1 + day 2</t>
  </si>
  <si>
    <t>09-Jan-2023</t>
  </si>
  <si>
    <t>comparable across time, across assets, and across markets.</t>
  </si>
  <si>
    <t>Are they equal?</t>
  </si>
  <si>
    <t>← Should be YES</t>
  </si>
  <si>
    <t>10-Jan-2023</t>
  </si>
  <si>
    <t>11-Jan-2023</t>
  </si>
  <si>
    <t>WHY LOG-RETURNS SPECIFICALLY?</t>
  </si>
  <si>
    <t>SIMPLE RETURNS — Additivity Does NOT Hold</t>
  </si>
  <si>
    <t>12-Jan-2023</t>
  </si>
  <si>
    <t>Day 1 simple return</t>
  </si>
  <si>
    <t>13-Jan-2023</t>
  </si>
  <si>
    <t>The log-return is defined as:    r_t = LN(P_t / P_{t-1}) × 100</t>
  </si>
  <si>
    <t>Day 2 simple return</t>
  </si>
  <si>
    <t>16-Jan-2023</t>
  </si>
  <si>
    <t>2-day simple return (direct)</t>
  </si>
  <si>
    <t>17-Jan-2023</t>
  </si>
  <si>
    <t>Three reasons we prefer it over simple returns:</t>
  </si>
  <si>
    <t>18-Jan-2023</t>
  </si>
  <si>
    <t>← Should be NO</t>
  </si>
  <si>
    <t>19-Jan-2023</t>
  </si>
  <si>
    <t>1. ADDITIVITY:  Log-returns add up across time.</t>
  </si>
  <si>
    <t>20-Jan-2023</t>
  </si>
  <si>
    <t xml:space="preserve">   A 5-day return = sum of 5 daily log-returns. Simple returns do not add.</t>
  </si>
  <si>
    <t>23-Jan-2023</t>
  </si>
  <si>
    <t>24-Jan-2023</t>
  </si>
  <si>
    <t>2. SYMMETRY:  A +10% log-return followed by -10% gets you back to the beginning.</t>
  </si>
  <si>
    <t>25-Jan-2023</t>
  </si>
  <si>
    <t xml:space="preserve">   With simple returns, +10% then -10% loses you money (×1.10 × 0.90 = 0.99).</t>
  </si>
  <si>
    <t>26-Jan-2023</t>
  </si>
  <si>
    <t>27-Jan-2023</t>
  </si>
  <si>
    <t>3. APPROXIMATION:  For small daily moves (under ~2%), log ≈ simple return.</t>
  </si>
  <si>
    <t>30-Jan-2023</t>
  </si>
  <si>
    <t xml:space="preserve">   So we get all the math benefits at almost no practical cost.</t>
  </si>
  <si>
    <t>31-Jan-2023</t>
  </si>
  <si>
    <t>01-Feb-2023</t>
  </si>
  <si>
    <t>SEE THE DATA TABLE TO THE LEFT →</t>
  </si>
  <si>
    <t>02-Feb-2023</t>
  </si>
  <si>
    <t>Look at how Column D (log-return) and Column E (simple return) compare.</t>
  </si>
  <si>
    <t>03-Feb-2023</t>
  </si>
  <si>
    <t>On normal days they are nearly identical. This confirms the approximation.</t>
  </si>
  <si>
    <t>06-Feb-2023</t>
  </si>
  <si>
    <t>07-Feb-2023</t>
  </si>
  <si>
    <t>LIVE PROOF: Additivity of Log-Returns (see rows 7-10 in data)</t>
  </si>
  <si>
    <t>08-Feb-2023</t>
  </si>
  <si>
    <t>Cell D9  = LN(C9/C8)*100       ← 1-day log-return</t>
  </si>
  <si>
    <t>09-Feb-2023</t>
  </si>
  <si>
    <t>Cell D10 = LN(C10/C9)*100      ← next 1-day log-return</t>
  </si>
  <si>
    <t>10-Feb-2023</t>
  </si>
  <si>
    <t>Cell D11 = LN(C10/C8)*100      ← 2-day log-return</t>
  </si>
  <si>
    <t>13-Feb-2023</t>
  </si>
  <si>
    <t>Notice: D9 + D10 = D11  (exactly, to many decimal places)</t>
  </si>
  <si>
    <t>14-Feb-2023</t>
  </si>
  <si>
    <t>This is the additivity property. Simple returns do NOT have this.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</si>
  <si>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</si>
  <si>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</si>
  <si>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</si>
  <si>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</si>
  <si>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</si>
  <si>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</si>
  <si>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</si>
  <si>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</si>
  <si>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</si>
  <si>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</si>
  <si>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</si>
  <si>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</si>
  <si>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</si>
  <si>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</si>
  <si>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</si>
  <si>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</si>
  <si>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</si>
  <si>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</si>
  <si>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</si>
  <si>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</si>
  <si>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</si>
  <si>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</si>
  <si>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</si>
  <si>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</si>
  <si>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</si>
  <si>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</si>
  <si>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</si>
  <si>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</si>
  <si>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</si>
  <si>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</si>
  <si>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</si>
  <si>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</si>
  <si>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</si>
  <si>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</si>
  <si>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</si>
  <si>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</si>
  <si>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</si>
  <si>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07-Apr-2023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</si>
  <si>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</si>
  <si>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</si>
  <si>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</si>
  <si>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</si>
  <si>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</si>
  <si>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</si>
  <si>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</si>
  <si>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</si>
  <si>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</si>
  <si>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</si>
  <si>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</si>
  <si>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</si>
  <si>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</si>
  <si>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</si>
  <si>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</si>
  <si>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</si>
  <si>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</si>
  <si>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</si>
  <si>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</si>
  <si>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</si>
  <si>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</si>
  <si>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</si>
  <si>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</si>
  <si>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</si>
  <si>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</si>
  <si>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</si>
  <si>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</si>
  <si>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</si>
  <si>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</si>
  <si>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</si>
  <si>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</si>
  <si>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</si>
  <si>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</si>
  <si>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</si>
  <si>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</si>
  <si>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</si>
  <si>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</si>
  <si>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</si>
  <si>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</si>
  <si>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</si>
  <si>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</si>
  <si>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</si>
  <si>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</si>
  <si>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</si>
  <si>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</si>
  <si>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</si>
  <si>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</si>
  <si>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</si>
  <si>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</si>
  <si>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</si>
  <si>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</si>
  <si>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</si>
  <si>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</si>
  <si>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</si>
  <si>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</si>
  <si>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</si>
  <si>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</si>
  <si>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</si>
  <si>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</si>
  <si>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</si>
  <si>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</si>
  <si>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</si>
  <si>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</si>
  <si>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</si>
  <si>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</si>
  <si>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</si>
  <si>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</si>
  <si>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</si>
  <si>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</si>
  <si>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</si>
  <si>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</si>
  <si>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</si>
  <si>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</si>
  <si>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</si>
  <si>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</si>
  <si>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</si>
  <si>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</si>
  <si>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</si>
  <si>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</si>
  <si>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</si>
  <si>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</si>
  <si>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</si>
  <si>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</si>
  <si>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</si>
  <si>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</si>
  <si>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</si>
  <si>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</si>
  <si>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</si>
  <si>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</si>
  <si>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</si>
  <si>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</si>
  <si>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</si>
  <si>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</si>
  <si>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</si>
  <si>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</si>
  <si>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</si>
  <si>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</si>
  <si>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</si>
  <si>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</si>
  <si>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</si>
  <si>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</si>
  <si>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</si>
  <si>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</si>
  <si>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</si>
  <si>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</si>
  <si>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</si>
  <si>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</si>
  <si>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</si>
  <si>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</si>
  <si>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</si>
  <si>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</si>
  <si>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</si>
  <si>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</si>
  <si>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</si>
  <si>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</si>
  <si>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</si>
  <si>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</si>
  <si>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</si>
  <si>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</si>
  <si>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</si>
  <si>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</si>
  <si>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</si>
  <si>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</si>
  <si>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</si>
  <si>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</si>
  <si>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</si>
  <si>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</si>
  <si>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</si>
  <si>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</si>
  <si>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</si>
  <si>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</si>
  <si>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</si>
  <si>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</si>
  <si>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</si>
  <si>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</si>
  <si>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</si>
  <si>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</si>
  <si>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</si>
  <si>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</si>
  <si>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</si>
  <si>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</si>
  <si>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</si>
  <si>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</si>
  <si>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</si>
  <si>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</si>
  <si>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</si>
  <si>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</si>
  <si>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</si>
  <si>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</si>
  <si>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</si>
  <si>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</si>
  <si>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</si>
  <si>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</si>
  <si>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</si>
  <si>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</si>
  <si>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</si>
  <si>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</si>
  <si>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</si>
  <si>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</si>
  <si>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</si>
  <si>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</si>
  <si>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</si>
  <si>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</si>
  <si>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</si>
  <si>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</si>
  <si>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</si>
  <si>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</si>
  <si>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</si>
  <si>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</si>
  <si>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</si>
  <si>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</si>
  <si>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</si>
  <si>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</si>
  <si>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</si>
  <si>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</si>
  <si>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</si>
  <si>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</si>
  <si>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</si>
  <si>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</si>
  <si>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</si>
  <si>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</si>
  <si>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</si>
  <si>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SECTION 2 — STYLIZED FACTS: HOW FINANCIAL RETURNS ACTUALLY BEHAVE</t>
  </si>
  <si>
    <t>Log-Return (%)</t>
  </si>
  <si>
    <t>Squared Return</t>
  </si>
  <si>
    <t>Abs Return</t>
  </si>
  <si>
    <t>HISTOGRAM BINS</t>
  </si>
  <si>
    <t>SCATTER DATA</t>
  </si>
  <si>
    <t>WHAT ARE STYLIZED FACTS?</t>
  </si>
  <si>
    <t>Bin Low</t>
  </si>
  <si>
    <t>Bin High</t>
  </si>
  <si>
    <t>Return Range</t>
  </si>
  <si>
    <t>Actual Count</t>
  </si>
  <si>
    <t>Normal Expected</t>
  </si>
  <si>
    <t>r(t-1)</t>
  </si>
  <si>
    <t>r(t)</t>
  </si>
  <si>
    <t>-4.75%</t>
  </si>
  <si>
    <t>Across nearly every financial market and time period, return series</t>
  </si>
  <si>
    <t>-4.25%</t>
  </si>
  <si>
    <t>share the same surprising statistical properties. These are not</t>
  </si>
  <si>
    <t>-3.75%</t>
  </si>
  <si>
    <t>theoretical predictions — they are empirical regularities observed</t>
  </si>
  <si>
    <t>-3.25%</t>
  </si>
  <si>
    <t>in real data and documented by researchers for decades.</t>
  </si>
  <si>
    <t>-2.75%</t>
  </si>
  <si>
    <t>-2.25%</t>
  </si>
  <si>
    <t>THE 4 KEY STYLIZED FACTS WE COVER HERE:</t>
  </si>
  <si>
    <t>-1.75%</t>
  </si>
  <si>
    <t>-1.25%</t>
  </si>
  <si>
    <t>FACT 1 — RETURNS LOOK LIKE RANDOM NOISE</t>
  </si>
  <si>
    <t>-0.75%</t>
  </si>
  <si>
    <t>Plot Column D (log-returns) over time. It oscillates around zero</t>
  </si>
  <si>
    <t>-0.25%</t>
  </si>
  <si>
    <t>with no clear trend. There is no direction to predict. This is</t>
  </si>
  <si>
    <t>0.25%</t>
  </si>
  <si>
    <t>consistent with the efficient market idea: prices already reflect</t>
  </si>
  <si>
    <t>0.75%</t>
  </si>
  <si>
    <t>available information.</t>
  </si>
  <si>
    <t>1.25%</t>
  </si>
  <si>
    <t>1.75%</t>
  </si>
  <si>
    <t>FACT 2 — FAT TAILS (Leptokurtosis)</t>
  </si>
  <si>
    <t>2.25%</t>
  </si>
  <si>
    <t>Plot a histogram of Column D. Compare it to a normal bell curve.</t>
  </si>
  <si>
    <t>2.75%</t>
  </si>
  <si>
    <t>The return distribution has a taller, sharper peak and FATTER tails.</t>
  </si>
  <si>
    <t>3.25%</t>
  </si>
  <si>
    <t>Extreme moves (-3%, -4%, -5%) happen far more often than a normal</t>
  </si>
  <si>
    <t>3.75%</t>
  </si>
  <si>
    <t>distribution would predict. This is the #1 reason risk models that</t>
  </si>
  <si>
    <t>4.25%</t>
  </si>
  <si>
    <t>assume normality underestimate actual tail losses.</t>
  </si>
  <si>
    <t>4.75%</t>
  </si>
  <si>
    <t>FACT 3 — SMALL AUTOCORRELATION IN RAW RETURNS</t>
  </si>
  <si>
    <t>Today's return gives very little information about tomorrow's return.</t>
  </si>
  <si>
    <t>We will measure this precisely in Section 4 (Autocorrelation).</t>
  </si>
  <si>
    <t>For now: this is why ARIMA will find almost nothing to model.</t>
  </si>
  <si>
    <t>FACT 4 — VOLATILITY CLUSTERING (the most important one)</t>
  </si>
  <si>
    <t>Look at Column E (squared returns). Squaring removes the sign</t>
  </si>
  <si>
    <t>and leaves only the magnitude. Now you can see clusters of large</t>
  </si>
  <si>
    <t>values followed by more large values — calm follows calm,</t>
  </si>
  <si>
    <t>turbulence follows turbulence. This is NOT random. This is the</t>
  </si>
  <si>
    <t>structure GARCH is built to capture.</t>
  </si>
  <si>
    <t>WHY DOES CLUSTERING MATTER FOR RISK?</t>
  </si>
  <si>
    <t>Because if volatility is predictable, so is risk.</t>
  </si>
  <si>
    <t>A GARCH model uses this clustering to forecast tomorrow's</t>
  </si>
  <si>
    <t>expected volatility — and therefore tomorrow's risk.</t>
  </si>
  <si>
    <t>SUMMARY STATISTICS — Compare these to what a Normal distribution predicts</t>
  </si>
  <si>
    <t>Mean (%)</t>
  </si>
  <si>
    <t>Should be close to zero</t>
  </si>
  <si>
    <t>Std Dev (%)</t>
  </si>
  <si>
    <t>Daily vol (not annualized)</t>
  </si>
  <si>
    <t>Skewness</t>
  </si>
  <si>
    <t>Negative = left-skewed (losses dominate)</t>
  </si>
  <si>
    <t>Kurtosis</t>
  </si>
  <si>
    <t>Normal = 3. Higher = fatter tails</t>
  </si>
  <si>
    <t>Excess Kurtosis</t>
  </si>
  <si>
    <t>Normal = 0. Positive = FAT TAILS</t>
  </si>
  <si>
    <t>Normal has Kurtosis of...</t>
  </si>
  <si>
    <t>3</t>
  </si>
  <si>
    <t>← Fixed benchmark</t>
  </si>
  <si>
    <t>SECTION 3 — STATIONARITY: WHY PRICES CAN'T BE MODELED DIRECTLY</t>
  </si>
  <si>
    <t>Obs #</t>
  </si>
  <si>
    <t>Random Shock (ε)</t>
  </si>
  <si>
    <t>Random Walk (cumsum)</t>
  </si>
  <si>
    <t>1st Diff of Walk</t>
  </si>
  <si>
    <t>Simulated Return (%)</t>
  </si>
  <si>
    <t>Simulated Cum. Level (Idx=100)</t>
  </si>
  <si>
    <t>WHAT IS STATIONARITY?</t>
  </si>
  <si>
    <t>A time series is stationary if its statistical properties — mean,</t>
  </si>
  <si>
    <t>variance, and autocorrelation structure — do not change over time.</t>
  </si>
  <si>
    <t>The Core Problem: Why You Can't Model Stock Prices Directly</t>
  </si>
  <si>
    <t>Think of it this way:</t>
  </si>
  <si>
    <t xml:space="preserve">  A stationary series bounces around a fixed center.</t>
  </si>
  <si>
    <t>Most time series models (ARIMA, regression, VAR) have one fundamental requirement: the data must be stationary — meaning its mean, variance, and autocorrelation structure don't change over time.</t>
  </si>
  <si>
    <t xml:space="preserve">  A non-stationary series drifts — it wanders off and never</t>
  </si>
  <si>
    <t xml:space="preserve">  comes back to any particular level.</t>
  </si>
  <si>
    <t>Stock prices violate this. They drift — permanently. There's no level they "return to."</t>
  </si>
  <si>
    <t>WHY DOES IT MATTER?</t>
  </si>
  <si>
    <t>Almost every classical time series model (ARIMA, regression,</t>
  </si>
  <si>
    <t>What the 4 Data Columns Show</t>
  </si>
  <si>
    <t>VAR) assumes the data is stationary. Using non-stationary data</t>
  </si>
  <si>
    <t>produces 'spurious regressions' — strong-looking correlations</t>
  </si>
  <si>
    <t>Column</t>
  </si>
  <si>
    <t>Series</t>
  </si>
  <si>
    <t>Stationary?</t>
  </si>
  <si>
    <t>The Point</t>
  </si>
  <si>
    <t>that are purely accidental, not real.</t>
  </si>
  <si>
    <t>C</t>
  </si>
  <si>
    <t>Random Shocks (ε)</t>
  </si>
  <si>
    <t>✅ Yes</t>
  </si>
  <si>
    <t>White noise — mean always ≈ 0, std dev always ≈ 1. This is what "well-behaved" data looks like</t>
  </si>
  <si>
    <t>D</t>
  </si>
  <si>
    <t>Random Walk</t>
  </si>
  <si>
    <t>❌ No</t>
  </si>
  <si>
    <t>Cumulative sum of shocks. Each step adds to wherever you ended up — it wanders and never comes back</t>
  </si>
  <si>
    <t>THE RANDOM WALK — THE CLASSIC NON-STATIONARY PROCESS:</t>
  </si>
  <si>
    <t>E</t>
  </si>
  <si>
    <t>Subtracting adjacent Walk values recovers Column C exactly. Differencing cures non-stationarity</t>
  </si>
  <si>
    <t>F</t>
  </si>
  <si>
    <t>Simulated Log-Returns</t>
  </si>
  <si>
    <t>Simulated return series — looks statistically identical to Column C. Returns behave like white noise</t>
  </si>
  <si>
    <t xml:space="preserve">  X_t = X_{t-1} + ε_t    (ε_t ~ Normal(0,1))</t>
  </si>
  <si>
    <t>G</t>
  </si>
  <si>
    <t>Simulated Cum. Price Level</t>
  </si>
  <si>
    <t>Compounding those returns back into a price index — it drifts, just like the random walk in Column D</t>
  </si>
  <si>
    <t>Each step adds an independent random shock to wherever we were.</t>
  </si>
  <si>
    <t>The series has no fixed center — it wanders forever.</t>
  </si>
  <si>
    <t>The 3 Charts Tell the Story Visually</t>
  </si>
  <si>
    <t>Stock PRICES behave like this. That is why we cannot model prices</t>
  </si>
  <si>
    <t>directly with ARIMA.</t>
  </si>
  <si>
    <t>Chart 1 — Random Walk (red, top): The line drifts aimlessly — sometimes up, sometimes down, never returning to zero. Hit F9 and it reshapes entirely. No model can predict where it ends up because it has no "center."</t>
  </si>
  <si>
    <t>THE FIX — DIFFERENCING:</t>
  </si>
  <si>
    <t>Chart 2 — Shocks vs. Simulated Returns (blue + green, middle): Both series do the same thing — noisy oscillation around zero. A simulated random process and these simulated returns are statistically indistinguishable. This is the practical implication: returns, not prices, are the right input to your model.</t>
  </si>
  <si>
    <t>Take the first difference:  ΔX_t = X_t - X_{t-1} = ε_t</t>
  </si>
  <si>
    <t>Chart 3 — S&amp;P Price Level vs. Returns (red + blue, bottom): The "aha" chart. Same underlying data, split into two forms. The price level (red) drifts — classic non-stationary. The log-returns (blue) bounce near zero — stationary. This is exactly why quant finance works with ln(P_t / P_{t-1}) instead of P_t.</t>
  </si>
  <si>
    <t>Now you just have the shocks — a stationary white-noise series.</t>
  </si>
  <si>
    <t>Log-returns ARE this first difference of log-prices.</t>
  </si>
  <si>
    <t xml:space="preserve">  LN(P_t) - LN(P_{t-1}) = LN(P_t / P_{t-1}) = r_t</t>
  </si>
  <si>
    <t>Takeaway</t>
  </si>
  <si>
    <t>LOOK AT THE DATA TABLE →</t>
  </si>
  <si>
    <t>Column C = Random shocks (stationary). Always noisy, mean near 0.</t>
  </si>
  <si>
    <t>Prices are non-stationary random walks. Log-returns are their first difference — stationary white noise. Always model returns, never prices.</t>
  </si>
  <si>
    <t>Column D = Random walk (cumulative sum). Drifts up or down forever.</t>
  </si>
  <si>
    <t>Column E = First diff of the random walk = Column C (exactly).</t>
  </si>
  <si>
    <t>Press F9 to regenerate the shocks — the random walk reshapes completely every time, but the returns always look the same. That is stationarity.</t>
  </si>
  <si>
    <t>Column F = simulated log-returns (also stationary, like Column C).</t>
  </si>
  <si>
    <t>TIP:  Press F9 to regenerate all random shocks and watch</t>
  </si>
  <si>
    <t>Column D reshape into a brand-new random walk path.</t>
  </si>
  <si>
    <t>The shocks (Column C) always look statistically similar.</t>
  </si>
  <si>
    <t>CHARTS (TO THE RIGHT) →</t>
  </si>
  <si>
    <t>Two line charts sit to the right of this data table:</t>
  </si>
  <si>
    <t xml:space="preserve">  Top: Random Walk — drifts far from zero. (non-stationary)</t>
  </si>
  <si>
    <t xml:space="preserve">  Bottom: Random Shocks — always bounces near zero. (stationary)</t>
  </si>
  <si>
    <t>Both charts refresh automatically when you press F9.</t>
  </si>
  <si>
    <t>SUMMARY STATISTICS</t>
  </si>
  <si>
    <t>INTERPRETATION:</t>
  </si>
  <si>
    <t>Metric</t>
  </si>
  <si>
    <t>1st Difference</t>
  </si>
  <si>
    <t>Sim. Return</t>
  </si>
  <si>
    <t>Sim. Level</t>
  </si>
  <si>
    <t>Stationary: mean &amp; std dev stay consistent over time.</t>
  </si>
  <si>
    <t>Mean</t>
  </si>
  <si>
    <t xml:space="preserve">  • Shocks (C):  mean ≈ 0, std dev ≈ 1.0  →  STATIONARY ✓</t>
  </si>
  <si>
    <t>Std Dev</t>
  </si>
  <si>
    <t xml:space="preserve">  • Walk   (D):  std dev &gt;&gt; 1, mean drifts  →  NON-STATIONARY ✗</t>
  </si>
  <si>
    <t xml:space="preserve">  • 1st Diff (E) ≡ Shocks (C) exactly  →  differencing works ✓</t>
  </si>
  <si>
    <t xml:space="preserve">  • Simulated Returns (F): mean ≈ 0, tiny std dev  →  STATIONARY ✓</t>
  </si>
  <si>
    <t xml:space="preserve">  • Simulated Level (G): mean drifts from 100, std dev ≈ 5  →  NON-STATIONARY ✗</t>
  </si>
  <si>
    <t>SECTION 4 — AUTOCORRELATION: DOES THE PAST PREDICT THE FUTURE?</t>
  </si>
  <si>
    <t>Obs</t>
  </si>
  <si>
    <t>Lag-1 Return</t>
  </si>
  <si>
    <t>Lag-1 Squared</t>
  </si>
  <si>
    <t>WHAT IS AUTOCORRELATION?</t>
  </si>
  <si>
    <t>Autocorrelation measures how much today's value is correlated with</t>
  </si>
  <si>
    <t>its own past values. It answers:</t>
  </si>
  <si>
    <t xml:space="preserve">  'If today's return is large, is tomorrow's also likely large?'</t>
  </si>
  <si>
    <t>We call this the ACF — Autocorrelation Function.</t>
  </si>
  <si>
    <t>ACF at lag 1 = correlation of r_t with r_{t-1}</t>
  </si>
  <si>
    <t>ACF at lag 2 = correlation of r_t with r_{t-2}   ...and so on.</t>
  </si>
  <si>
    <t>HOW TO COMPUTE IT IN EXCEL:</t>
  </si>
  <si>
    <t xml:space="preserve">   =CORREL(C5:C253, C4:C252)   &lt;- ACF at lag 1 (shift by 1 row)</t>
  </si>
  <si>
    <t xml:space="preserve">   =CORREL(C6:C253, C4:C251)   &lt;- ACF at lag 2 (shift by 2 rows)</t>
  </si>
  <si>
    <t>This is exactly what the ACF TABLE below does.</t>
  </si>
  <si>
    <t>THE KEY RESULT — TWO ACF TABLES TO COMPARE:</t>
  </si>
  <si>
    <t>Table 1 = ACF of raw log-returns</t>
  </si>
  <si>
    <t xml:space="preserve">  → Lag-1 = −0.168: statistically nonzero but R²≈3% — tiny predictive power.</t>
  </si>
  <si>
    <t xml:space="preserve">  → Even so, knowing today's return barely helps predict tomorrow's.</t>
  </si>
  <si>
    <t xml:space="preserve">  → This is consistent with market efficiency.</t>
  </si>
  <si>
    <t xml:space="preserve">  → This also means ARIMA will find very little to model.</t>
  </si>
  <si>
    <t xml:space="preserve">  Note: lag-1 at −0.168 exceeds the 0.1 threshold in column E, so it shows 'Not near zero' — accurate. The key point is that R²≈3% makes it economically negligible.</t>
  </si>
  <si>
    <t>Table 2 = ACF of SQUARED returns</t>
  </si>
  <si>
    <t xml:space="preserve">  → Correlations are clearly positive and decay slowly!</t>
  </si>
  <si>
    <t xml:space="preserve">  → The SIZE of today's move predicts the size of tomorrow's move.</t>
  </si>
  <si>
    <t xml:space="preserve">  → This is volatility clustering — structure in the variance.</t>
  </si>
  <si>
    <t xml:space="preserve">  → This is exactly what GARCH is designed to capture.</t>
  </si>
  <si>
    <t>Returns are unpredictable in direction but</t>
  </si>
  <si>
    <t>predictable in magnitude.</t>
  </si>
  <si>
    <t>That gap between the two tables is the entire</t>
  </si>
  <si>
    <t>intellectual justification for GARCH modeling.</t>
  </si>
  <si>
    <t>ACF TABLE — Autocorrelation at Lags 1 to 10</t>
  </si>
  <si>
    <t>Lag</t>
  </si>
  <si>
    <t>ACF (raw returns)</t>
  </si>
  <si>
    <t>ACF (squared returns)</t>
  </si>
  <si>
    <t>Is raw near zero?</t>
  </si>
  <si>
    <t>Is squared &gt; 0?</t>
  </si>
  <si>
    <t>φ (AR):</t>
  </si>
  <si>
    <t>θ (MA):</t>
  </si>
  <si>
    <t>φ̂ (from simulated return series):</t>
  </si>
  <si>
    <t>θ̂ (MA1, simulated data):</t>
  </si>
  <si>
    <t>SECTION 5 — ARIMA: MODELING THE MEAN OF A TIME SERIES</t>
  </si>
  <si>
    <t>SIMULATED RETURN SERIES — AR(1) APPLIED [Illustrative, 2023 calendar]</t>
  </si>
  <si>
    <t>MA(1) &amp; ARIMA(1,0,1) APPLIED TO SIMULATED RETURN SERIES</t>
  </si>
  <si>
    <t>ε (AR)</t>
  </si>
  <si>
    <t>AR(1) Simulation</t>
  </si>
  <si>
    <t>MA(1) Simulation</t>
  </si>
  <si>
    <t>1st Diff (= shock)</t>
  </si>
  <si>
    <t>ε (MA)</t>
  </si>
  <si>
    <t>ARIMA(1,0,1)</t>
  </si>
  <si>
    <t>Actual Return (×100 = % daily)</t>
  </si>
  <si>
    <t>AR(1) Fitted:  φ̂ × r(t−1)</t>
  </si>
  <si>
    <t>MA(1) ε̂(t)  [helper]</t>
  </si>
  <si>
    <t>MA(1) Fitted:  θ̂×ε̂(t−1)</t>
  </si>
  <si>
    <t>ARIMA ε̂(t)  [helper]</t>
  </si>
  <si>
    <t>ARIMA(1,0,1) Fitted:  φ̂×r(t−1)+θ̂×ε̂(t−1)</t>
  </si>
  <si>
    <t>▌ ARIMA(p, d, q) — MODELING THE MEAN</t>
  </si>
  <si>
    <t>ARIMA combines three tools into one model to capture structure in the conditional mean:</t>
  </si>
  <si>
    <t xml:space="preserve">  AR  =  AutoRegressive  ·  today's value depends on past VALUES of y</t>
  </si>
  <si>
    <t xml:space="preserve">  I   =  Integrated       ·  how many times the series is differenced first</t>
  </si>
  <si>
    <t xml:space="preserve">  MA  =  Moving Average   ·  today's value depends on past SHOCKS (ε)</t>
  </si>
  <si>
    <t xml:space="preserve">  Notation:  ARIMA(p, d, q)  where  p = # AR lags,  d = # differences,  q = # MA lags</t>
  </si>
  <si>
    <t>▌ PART A — AR(p): AUTOREGRESSIVE MODEL  [Column C]</t>
  </si>
  <si>
    <t>AR(p): today's value is a weighted sum of the last p values plus white noise ε(t):</t>
  </si>
  <si>
    <t xml:space="preserve">  y(t) = φ₁·y(t−1) + φ₂·y(t−2) + ··· + φₚ·y(t−p) + ε(t)         ← general AR(p)</t>
  </si>
  <si>
    <t>AR(1) simulated in Column C  [φ = 0.7, stored in C1 — change to experiment]:</t>
  </si>
  <si>
    <t xml:space="preserve">  y(t)  =  φ · y(t−1)  +  ε(t)</t>
  </si>
  <si>
    <t xml:space="preserve">  ↳ Excel cell:  C5  =  $C$1 × C4 + A5     [C1 = φ = 0.7,  C4 = y(t−1),  A5 = ε(t)]</t>
  </si>
  <si>
    <t>Persistence: φ = 0.7 means 70% of last period's level carries into today's value.</t>
  </si>
  <si>
    <t>Stability: ||φ|| &lt; 1 required for stationarity.  At φ = 1 the process becomes a random walk.</t>
  </si>
  <si>
    <t>Long-run variance:  Var[y(t)]  =  σ²_ε  /  (1 − φ²)     [grows as φ → 1]</t>
  </si>
  <si>
    <t>▌ PART B — MA(q): MOVING AVERAGE MODEL  [Column D]</t>
  </si>
  <si>
    <t>MA(q): today's value is a weighted sum of the current and last q−1 shocks:</t>
  </si>
  <si>
    <t xml:space="preserve">  y(t) = ε(t) + θ₁·ε(t−1) + θ₂·ε(t−2) + ··· + θ_q·ε(t−q)          ← general MA(q)</t>
  </si>
  <si>
    <t>MA(1) simulated in Column D  [θ = 0.6, stored in E1 — change to experiment]:</t>
  </si>
  <si>
    <t xml:space="preserve">  y(t)  =  ε(t)  +  θ · ε(t−1)</t>
  </si>
  <si>
    <t xml:space="preserve">  ↳ Excel cell:  D5  =  G5 + $E$1 × G4     [G5 = ε(t),  E1 = θ = 0.6,  G4 = ε(t−1)]</t>
  </si>
  <si>
    <t>Intuition: today's value = current shock + a fraction of yesterday's shock.</t>
  </si>
  <si>
    <t>Short memory: the MA effect vanishes completely after exactly q lags (finite impulse response).</t>
  </si>
  <si>
    <t>Always stationary: any value of θ works — no stability constraint required (unlike AR).</t>
  </si>
  <si>
    <t>Long-run variance:  Var[y(t)]  =  σ²_ε · (1 + θ²)</t>
  </si>
  <si>
    <t>▌ PART C — I(d): INTEGRATION &amp; DIFFERENCING  [Columns E &amp; F]</t>
  </si>
  <si>
    <t>I(d): a series must be differenced d times to become stationary. Each difference removes one unit root.</t>
  </si>
  <si>
    <t>Column E = Random Walk  [non-stationary, I(1) — must difference once]:</t>
  </si>
  <si>
    <t xml:space="preserve">  y(t)  =  y(t−1)  +  ε(t)            ↳ Excel: E5  =  E4 + F5</t>
  </si>
  <si>
    <t>Column F = 1st Difference  [stationary I(0) — what ARIMA models after d=1 differencing]:</t>
  </si>
  <si>
    <t xml:space="preserve">  Δy(t)  =  y(t) − y(t−1)  =  ε(t)   ↳ F values are shock inputs (white noise)</t>
  </si>
  <si>
    <t>d = 0  →  series already stationary  →  use for stock RETURNS (model directly)</t>
  </si>
  <si>
    <t>d = 1  →  difference once first      →  use for stock PRICES (Δprice = return)</t>
  </si>
  <si>
    <t>▌ THE COMBINED ARIMA(1, 0, 1)  [Column H]</t>
  </si>
  <si>
    <t>AR(1) + no differencing (d = 0) + MA(1) combined — Column H simulates this directly:</t>
  </si>
  <si>
    <t xml:space="preserve">  y(t)  =  φ · y(t−1)  +  ε(t)  +  θ · ε(t−1)</t>
  </si>
  <si>
    <t xml:space="preserve">  ↳ Excel (Col H):  H5  =  $C$1×H4 + G5 + $E$1×G4   [C1=φ=0.7, H4=y(t−1), G5=ε(t), G4=ε(t−1)]</t>
  </si>
  <si>
    <t>General ARIMA(p, d, q) using the lag operator L  [definition: L·y(t) ≡ y(t−1)]:</t>
  </si>
  <si>
    <t xml:space="preserve">  Φ(L) · (1−L)^d · y(t)  =  Θ(L) · ε(t)</t>
  </si>
  <si>
    <t xml:space="preserve">  Φ(L) = 1 − φ₁L − φ₂L² − ··· − φₚL^p       ← AR lag polynomial</t>
  </si>
  <si>
    <t xml:space="preserve">  Θ(L) = 1 + θ₁L + θ₂L² + ··· + θ_qL^q        ← MA lag polynomial</t>
  </si>
  <si>
    <t>▌ THE HONEST PUNCHLINE FOR FINANCE</t>
  </si>
  <si>
    <t>Daily returns show small but statistically detectable autocorrelation in the mean (φ̂ = −0.168; R² ≈ 3%).</t>
  </si>
  <si>
    <t>A fitted ARIMA finds small φ and θ — statistically nonzero, but the signal is swamped by noise in practice.</t>
  </si>
  <si>
    <t>The mean of daily returns is nearly unpredictable (consistent with efficient market logic, despite the small measured autocorrelation).</t>
  </si>
  <si>
    <t>Financial data's real persistence lives in the VARIANCE of returns, not in the mean.</t>
  </si>
  <si>
    <t>→  GARCH (Section 6) takes over for variance.  Columns J–L prove it: φ̂ = −0.17 on this simulated series — AR(1) explains only ~3% of return variance.</t>
  </si>
  <si>
    <t>▌ FINDINGS: AR, MA &amp; ARIMA APPLIED TO SIMULATED SERIES (COLS J–P)</t>
  </si>
  <si>
    <t>Parameters estimated from all 251 simulated daily log-returns (illustrative 2023-calendar series):</t>
  </si>
  <si>
    <t xml:space="preserve">  AR(1): φ̂ = −0.168   [Col K1]       MA(1): θ̂ = −0.173   [Col N1]</t>
  </si>
  <si>
    <t>Both negative → in this series, an up-day slightly predicted the next day's return to be down (mild mean-reversion).</t>
  </si>
  <si>
    <t>If r(t−1) = +1.0%: AR predicts −0.17%, MA predicts −0.10% (1st step only), ARIMA predicts −0.27%.</t>
  </si>
  <si>
    <t>But daily volatility is ≈0.8% — the forecast signal is swamped by noise in every single period.</t>
  </si>
  <si>
    <t xml:space="preserve">  R² (all three models) ≈ 3%   →   fitted values ≈ 0,   residuals ≈ actual returns exactly</t>
  </si>
  <si>
    <t>Adding the MA or ARIMA terms does not materially improve predictive accuracy over AR alone.</t>
  </si>
  <si>
    <t>Even if exploitable, bid-ask spreads and commissions would consume any profit from a −0.17 autocorrelation.</t>
  </si>
  <si>
    <t>→  Mean of returns: unpredictable by design (ARIMA gives up). Variance: highly persistent (GARCH takes over).</t>
  </si>
  <si>
    <t>GARCH(1,1) Parameters  —  change to experiment:</t>
  </si>
  <si>
    <t>ω =</t>
  </si>
  <si>
    <t>α =</t>
  </si>
  <si>
    <t>β =</t>
  </si>
  <si>
    <t>VaR / ES Parameters:</t>
  </si>
  <si>
    <t>Conf₁ =</t>
  </si>
  <si>
    <t>Conf₂ =</t>
  </si>
  <si>
    <t>▌ BACKTEST RESULTS — KUPIEC PROPORTION OF FAILURES TEST</t>
  </si>
  <si>
    <t>SECTION 6 — GARCH MOTIVATION: VOLATILITY IS NOT CONSTANT</t>
  </si>
  <si>
    <t>PARAMETERS</t>
  </si>
  <si>
    <t>▌ VALUE AT RISK &amp; EXPECTED SHORTFALL  [Normal-GARCH]</t>
  </si>
  <si>
    <t>Rolling 20d StdDev (%)</t>
  </si>
  <si>
    <t>Annualized Vol (%)</t>
  </si>
  <si>
    <t>Crisis Period?</t>
  </si>
  <si>
    <t>ε²(t)  Squared Return</t>
  </si>
  <si>
    <t>σ²(t)  GARCH Variance</t>
  </si>
  <si>
    <t>GARCH Daily σ (%)</t>
  </si>
  <si>
    <t>GARCH Ann. Vol (%)</t>
  </si>
  <si>
    <t>VaR 95% (Daily %)</t>
  </si>
  <si>
    <t>VaR 99% (Daily %)</t>
  </si>
  <si>
    <t>ES 95% (Daily %)</t>
  </si>
  <si>
    <t>ES 99% (Daily %)</t>
  </si>
  <si>
    <t>Breach 95%</t>
  </si>
  <si>
    <t>Breach 99%</t>
  </si>
  <si>
    <t>METRIC</t>
  </si>
  <si>
    <t>95% VaR</t>
  </si>
  <si>
    <t>99% VaR</t>
  </si>
  <si>
    <t>−VaR 95%</t>
  </si>
  <si>
    <t>−VaR 99%</t>
  </si>
  <si>
    <t>—</t>
  </si>
  <si>
    <t>▌ THE GOAL — CAN WE PREDICT TOMORROW’S VARIANCE?</t>
  </si>
  <si>
    <t>▌ WHAT IS GARCH-VaR?</t>
  </si>
  <si>
    <t>Total Observations (T)</t>
  </si>
  <si>
    <t>ARIMA asked: can we predict tomorrow’s MEAN return? Answer: NO (R² ≈ 3% — see Sheet 5).</t>
  </si>
  <si>
    <t>VaR(95%): on any given day, there is a 5% chance the loss</t>
  </si>
  <si>
    <t>Expected Breach Rate (p)</t>
  </si>
  <si>
    <t>will exceed this value.  Col N  =  1.645 × σ_GARCH.</t>
  </si>
  <si>
    <t>Expected Breaches (T × p)</t>
  </si>
  <si>
    <t>This is what makes GARCH one of the most-used models in quantitative finance.</t>
  </si>
  <si>
    <t>Actual Breaches (k)</t>
  </si>
  <si>
    <t>VaR(99%): stricter threshold — 1% exceedance probability.</t>
  </si>
  <si>
    <t>Observed Breach Rate (p̂ = k/T)</t>
  </si>
  <si>
    <t>▌ THE EVIDENCE — VOLATILITY IS NOT CONSTANT  [Col E, rolling vol]</t>
  </si>
  <si>
    <t>Col O  =  2.326 × σ_GARCH.</t>
  </si>
  <si>
    <t>Kupiec LR Statistic</t>
  </si>
  <si>
    <t>Column E (rolling 20-day vol) ranges from ~10% to ~31% in this simulated series — a 3× swing.</t>
  </si>
  <si>
    <t>Critical Value  (χ²₁, α=5%)</t>
  </si>
  <si>
    <t>A model that assumes constant σ is badly wrong for most of the year.</t>
  </si>
  <si>
    <t>Both use GARCH σ [Col J] not fixed historical vol.</t>
  </si>
  <si>
    <t>Kupiec Test Result</t>
  </si>
  <si>
    <t xml:space="preserve">  Calm periods (early and mid-series):     rolling vol ≈ 10–13%  ← safe regime</t>
  </si>
  <si>
    <t>This makes VaR time-varying — higher in turbulent regimes,</t>
  </si>
  <si>
    <t xml:space="preserve">  Turbulent periods (▲/■ in Col F): rolling vol ≈ 20–31%  ← crisis regime</t>
  </si>
  <si>
    <t>lower in calm ones.  The 3× vol swing in Col E produces</t>
  </si>
  <si>
    <t>▌ VaR / ES STATISTICS — SIMULATED SERIES</t>
  </si>
  <si>
    <t>a 3× swing in VaR estimates across the year.</t>
  </si>
  <si>
    <t>VaR 95% (%)</t>
  </si>
  <si>
    <t>VaR 99% (%)</t>
  </si>
  <si>
    <t>ES 95% (%)</t>
  </si>
  <si>
    <t>ES 99% (%)</t>
  </si>
  <si>
    <t>▌ VOLATILITY CLUSTERING — THE CORE INSIGHT  [Col G = ε²(t)]</t>
  </si>
  <si>
    <t>Average (Typical Day)</t>
  </si>
  <si>
    <t>Large returns tend to be followed by large returns (of either sign).</t>
  </si>
  <si>
    <t>▌ EXPECTED SHORTFALL (ES / CVaR)</t>
  </si>
  <si>
    <t>Minimum (Calmest Day)</t>
  </si>
  <si>
    <t>Small returns tend to be followed by small returns.</t>
  </si>
  <si>
    <t>ES = E[loss | loss &gt; VaR] — the AVERAGE loss on breach days.</t>
  </si>
  <si>
    <t>Maximum (Most Stressed Day)</t>
  </si>
  <si>
    <t xml:space="preserve">  Autocorrelation of ε²(t) [Col G] &gt;&gt; 0  ← the autocorrelation ARIMA ignored.</t>
  </si>
  <si>
    <t>ES &gt; VaR always.  Under normality:</t>
  </si>
  <si>
    <t>Stress / Calm Ratio</t>
  </si>
  <si>
    <t>Look at Column G: squared returns cluster. Spikes appear together; calm periods too.</t>
  </si>
  <si>
    <t xml:space="preserve">  ES₉₅ ≈ 2.06 × σ  (Col P)    ES₉₉ ≈ 2.67 × σ  (Col Q)</t>
  </si>
  <si>
    <t>Latest Estimate (Last Day)</t>
  </si>
  <si>
    <t>This clustering is the entire motivation for GARCH.</t>
  </si>
  <si>
    <t>Avg Actual Loss on Breach Days</t>
  </si>
  <si>
    <t>← compare vs ES estimate above</t>
  </si>
  <si>
    <t>ES tells you HOW BAD losses get in the tail, not just when</t>
  </si>
  <si>
    <t>▌ THE GARCH(1,1) MODEL  [Columns I, J, K]</t>
  </si>
  <si>
    <t>the threshold is crossed.  Required for Basel III VaR reporting.</t>
  </si>
  <si>
    <t>▌ INTERPRETATION</t>
  </si>
  <si>
    <t>Today’s variance depends on yesterday’s squared return AND yesterday’s variance:</t>
  </si>
  <si>
    <t>95% model: 18 breaches vs 12.5 expected — slightly more than normal-dist predicts.</t>
  </si>
  <si>
    <t xml:space="preserve">  σ²(t)  =  ω  +  α×ε²(t−1)  +  β×σ²(t−1)</t>
  </si>
  <si>
    <t>▌ BREACH INDICATORS (Cols R &amp; S)</t>
  </si>
  <si>
    <t>Cause: Equity returns have fat tails. Normal GARCH underestimates extreme moves.</t>
  </si>
  <si>
    <t xml:space="preserve">  ω = long-run variance floor  [I1 = 0.000003]</t>
  </si>
  <si>
    <t>1 = actual return &lt; −VaR (i.e., loss exceeded the forecast).</t>
  </si>
  <si>
    <t>Both models PASS Kupiec — difference is not statistically significant at 5%.</t>
  </si>
  <si>
    <t xml:space="preserve">  α = news impact (ARCH term)   [K1 = 0.10]  ← how much ε²(t−1) matters</t>
  </si>
  <si>
    <t>Under a correct model: ~5% / ~1% breach rates expected.</t>
  </si>
  <si>
    <t>Real-world fix: use Student-t GARCH (heavier tails) to better capture tail risk.</t>
  </si>
  <si>
    <t xml:space="preserve">  β = persistence (GARCH term)  [M1 = 0.85]  ← how much σ²(t−1) carries forward</t>
  </si>
  <si>
    <t>250 days × 5% = 12.5 expected breaches for 95% VaR.</t>
  </si>
  <si>
    <t>The Kupiec test (right →) formally tests model calibration.</t>
  </si>
  <si>
    <t>▌ HOW COLUMN I IS COMPUTED  [recursive, like MA residuals]</t>
  </si>
  <si>
    <t>Seed (Row 4, blue): long-run unconditional variance:</t>
  </si>
  <si>
    <t xml:space="preserve">  I4  =  ω / (1−α−β)  =  0.000003 / 0.05  =  0.00006</t>
  </si>
  <si>
    <t>Recursion (rows 5–253) — each σ²(t) uses the PRIOR row’s values:</t>
  </si>
  <si>
    <t xml:space="preserve">  I5  =  $I$1  +  $K$1 × G4  +  $M$1 × I4</t>
  </si>
  <si>
    <t xml:space="preserve">  J4  =  SQRT(I4) × 100          ← daily vol as %</t>
  </si>
  <si>
    <t xml:space="preserve">  K4  =  J4 × SQRT(252)           ← annualised vol as %</t>
  </si>
  <si>
    <t>▌ WHAT WE FIND  [compare Col E rolling vs Col K GARCH]</t>
  </si>
  <si>
    <t>GARCH vol [Col K] tracks rolling vol [Col E] closely, but with key differences:</t>
  </si>
  <si>
    <t xml:space="preserve">  1. More responsive — a large shock hits σ²(t+1) immediately via α×ε²(t)</t>
  </si>
  <si>
    <t xml:space="preserve">  2. Smoother — no hard window edge that drops old observations equally</t>
  </si>
  <si>
    <t xml:space="preserve">  3. Forward-looking — gives an explicit forecast for tomorrow’s variance:</t>
  </si>
  <si>
    <t xml:space="preserve">     σ²(t+1) = ω + α×ε²(t) + β×σ²(t)   ← known at end of day t</t>
  </si>
  <si>
    <t>▌ THE KEY FINDING: α + β = 0.95</t>
  </si>
  <si>
    <t>With α=0.10 and β=0.85: today’s variance regime carries 95% into tomorrow.</t>
  </si>
  <si>
    <t>If GARCH vol is 20% today → expect ~19.6% tomorrow (before new return arrives).</t>
  </si>
  <si>
    <t>Long-run vol ≈ SQRT(ω/(1−α−β)) × 100 × SQRT(252)  ≈  12% annual</t>
  </si>
  <si>
    <t>Mean reversion speed: vol reverts toward 12% at rate (1−α−β) = 5% per day.</t>
  </si>
  <si>
    <t>Contrast with ARIMA: φ̂≈−0.17 (mean autocorr). Here: β=0.85 (variance autocorr).</t>
  </si>
  <si>
    <t>Variance is far MORE persistent and predictable than the mean.</t>
  </si>
  <si>
    <t>▌ THE HONEST PUNCHLINE</t>
  </si>
  <si>
    <t>ARIMA: mean ≈ unpredictable. Fitted values ≈ 0. R² ≈ 3%.</t>
  </si>
  <si>
    <t>GARCH: variance IS predictable. Tomorrow’s vol ≈ today’s vol × 0.95.</t>
  </si>
  <si>
    <t>GARCH tells you HOW WIDE tomorrow’s return distribution will be, not its direction.</t>
  </si>
  <si>
    <t>That’s enough to price options, compute VaR, and size positions correctly.</t>
  </si>
  <si>
    <t>→  This is the bridge from mean-modelling (ARIMA) to variance-modelling (GARCH).</t>
  </si>
  <si>
    <t xml:space="preserve">PART 1 OF 2 — Foundations &amp; Excel Intuition  |  Part 2: Python Implementation </t>
  </si>
  <si>
    <t>This is a two-part project. Part 1 (this workbook) explains foundational concepts using a simulated illustrative return series and live Excel formulas. Part 2 (Python Jupyter notebook) applies every concept to real S&amp;P 500 data, adds PACF and AIC/BIC model selection, and fits GARCH(1,1) via Maximum Likelihood. Start here; continue in Python.</t>
  </si>
  <si>
    <t>GARCH(1,1) recursion formula; VaR/ES time-series model; Kupiec backtest table; 5 embedded charts</t>
  </si>
  <si>
    <t>NOTES</t>
  </si>
  <si>
    <t>Residual/Error:  r(t) − φ̂×r(t−1)</t>
  </si>
  <si>
    <t>GARCH asks: can we predict tomorrow’s VARIANCE? Answer: 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</si>
</sst>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"/>
    <numFmt numFmtId="165" formatCode="0.00000"/>
    <numFmt numFmtId="166" formatCode="0.0%"/>
    <numFmt numFmtId="167" formatCode="0.00&quot;%&quot;"/>
    <numFmt numFmtId="168" formatCode="0.0"/>
    <numFmt numFmtId="169" formatCode="0.000%"/>
    <numFmt numFmtId="170" formatCode="0.0000000"/>
    <numFmt numFmtId="171" formatCode="dd\-mmm\-yyyy"/>
    <numFmt numFmtId="172" formatCode="0.00000E+00"/>
    <numFmt numFmtId="173" formatCode="0.000"/>
    <numFmt numFmtId="174" formatCode="0.0\x"/>
    <numFmt numFmtId="178" formatCode="0.000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i/>
      <sz val="10"/>
      <color rgb="FF666666"/>
      <name val="Calibri"/>
      <family val="2"/>
    </font>
    <font>
      <b/>
      <sz val="10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b/>
      <sz val="13"/>
      <color rgb="FFFFFFFF"/>
      <name val="Calibri"/>
      <family val="2"/>
    </font>
    <font>
      <sz val="9"/>
      <color rgb="FF1A1A2E"/>
      <name val="Calibri"/>
      <family val="2"/>
    </font>
    <font>
      <sz val="9"/>
      <color rgb="FF0000FF"/>
      <name val="Calibri"/>
      <family val="2"/>
    </font>
    <font>
      <i/>
      <sz val="9"/>
      <color rgb="FF999999"/>
      <name val="Calibri"/>
      <family val="2"/>
    </font>
    <font>
      <b/>
      <sz val="10"/>
      <color rgb="FF1B3A6B"/>
      <name val="Calibri"/>
      <family val="2"/>
    </font>
    <font>
      <sz val="9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i/>
      <sz val="9"/>
      <color rgb="FFC0392B"/>
      <name val="Calibri"/>
      <family val="2"/>
    </font>
    <font>
      <b/>
      <sz val="10"/>
      <color rgb="FF000000"/>
      <name val="Calibri"/>
      <family val="2"/>
    </font>
    <font>
      <b/>
      <sz val="10"/>
      <color rgb="FF1E6B3E"/>
      <name val="Calibri"/>
      <family val="2"/>
    </font>
    <font>
      <i/>
      <sz val="9"/>
      <color rgb="FF555555"/>
      <name val="Calibri"/>
      <family val="2"/>
    </font>
    <font>
      <b/>
      <sz val="10"/>
      <color rgb="FFC0392B"/>
      <name val="Calibri"/>
      <family val="2"/>
    </font>
    <font>
      <b/>
      <i/>
      <sz val="12"/>
      <color rgb="FF1E6B3E"/>
      <name val="Calibri"/>
      <family val="2"/>
    </font>
    <font>
      <b/>
      <sz val="11"/>
      <color rgb="FF1F4E79"/>
      <name val="Calibri"/>
      <family val="2"/>
    </font>
    <font>
      <sz val="12"/>
      <color theme="1"/>
      <name val="Calibri"/>
      <family val="2"/>
    </font>
    <font>
      <b/>
      <sz val="12"/>
      <color rgb="FF1B3A6B"/>
      <name val="Calibri"/>
      <family val="2"/>
    </font>
    <font>
      <b/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rgb="FF1A1A2E"/>
      <name val="Calibri"/>
      <family val="2"/>
    </font>
    <font>
      <sz val="12"/>
      <color rgb="FF0000FF"/>
      <name val="Calibri"/>
      <family val="2"/>
    </font>
    <font>
      <i/>
      <sz val="12"/>
      <color rgb="FF999999"/>
      <name val="Calibri"/>
      <family val="2"/>
    </font>
    <font>
      <sz val="12"/>
      <color rgb="FFC0392B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b/>
      <sz val="12"/>
      <color rgb="FF154360"/>
      <name val="Calibri"/>
      <family val="2"/>
    </font>
    <font>
      <sz val="12"/>
      <color rgb="FF922B21"/>
      <name val="Calibri"/>
      <family val="2"/>
    </font>
    <font>
      <b/>
      <sz val="12"/>
      <color rgb="FF922B21"/>
      <name val="Calibri"/>
      <family val="2"/>
    </font>
    <font>
      <b/>
      <sz val="12"/>
      <color rgb="FFC0392B"/>
      <name val="Calibri"/>
      <family val="2"/>
    </font>
    <font>
      <sz val="12"/>
      <color rgb="FF999999"/>
      <name val="Calibri"/>
      <family val="2"/>
    </font>
    <font>
      <b/>
      <sz val="12"/>
      <color rgb="FF1A1A2E"/>
      <name val="Calibri"/>
      <family val="2"/>
    </font>
    <font>
      <b/>
      <i/>
      <sz val="12"/>
      <color rgb="FF1A1A2E"/>
      <name val="Calibri"/>
      <family val="2"/>
    </font>
    <font>
      <i/>
      <sz val="12"/>
      <color rgb="FF1A1A2E"/>
      <name val="Calibri"/>
      <family val="2"/>
    </font>
    <font>
      <b/>
      <sz val="12"/>
      <color theme="6" tint="-0.499984740745262"/>
      <name val="Calibri"/>
      <family val="2"/>
    </font>
    <font>
      <b/>
      <sz val="12"/>
      <color rgb="FF1F4E79"/>
      <name val="Calibri"/>
      <family val="2"/>
    </font>
    <font>
      <sz val="12"/>
      <color rgb="FF008000"/>
      <name val="Calibri"/>
      <family val="2"/>
    </font>
    <font>
      <sz val="12"/>
      <name val="Calibri"/>
      <family val="2"/>
    </font>
    <font>
      <sz val="10"/>
      <color rgb="FF00000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rgb="FF1B3A6B"/>
        <bgColor rgb="FF444444"/>
      </patternFill>
    </fill>
    <fill>
      <patternFill patternType="solid">
        <fgColor rgb="FFC9A84C"/>
        <bgColor rgb="FF999999"/>
      </patternFill>
    </fill>
    <fill>
      <patternFill patternType="solid">
        <fgColor rgb="FFFDF6E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FFF3CD"/>
        <bgColor rgb="FFFDF6EC"/>
      </patternFill>
    </fill>
    <fill>
      <patternFill patternType="solid">
        <fgColor rgb="FFD5F5E3"/>
        <bgColor rgb="FFD6E4F0"/>
      </patternFill>
    </fill>
    <fill>
      <patternFill patternType="solid">
        <fgColor rgb="FF1B3A6B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DF6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6" tint="0.59999389629810485"/>
        <bgColor rgb="FF444444"/>
      </patternFill>
    </fill>
    <fill>
      <patternFill patternType="solid">
        <fgColor theme="6" tint="0.59999389629810485"/>
        <bgColor rgb="FFF9F9F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AF6FF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7B2D2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9F9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9F9F9"/>
      </patternFill>
    </fill>
  </fills>
  <borders count="41">
    <border>
      <left/>
      <right/>
      <top/>
      <bottom/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rgb="FFC9A84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medium">
        <color rgb="FFC9A84C"/>
      </top>
      <bottom/>
      <diagonal/>
    </border>
    <border>
      <left style="thin">
        <color rgb="FFCCCCCC"/>
      </left>
      <right/>
      <top style="thin">
        <color rgb="FFCCCCCC"/>
      </top>
      <bottom style="medium">
        <color rgb="FF1B3A6B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/>
      <diagonal/>
    </border>
    <border>
      <left style="thin">
        <color rgb="FFCCCCCC"/>
      </left>
      <right style="thin">
        <color rgb="FFCCCCCC"/>
      </right>
      <top style="medium">
        <color rgb="FFC9A84C"/>
      </top>
      <bottom style="medium">
        <color rgb="FF1B3A6B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medium">
        <color rgb="FF1B3A6B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C9A84C"/>
      </top>
      <bottom style="medium">
        <color rgb="FFC9A84C"/>
      </bottom>
      <diagonal/>
    </border>
    <border>
      <left/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medium">
        <color rgb="FFC9A84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medium">
        <color rgb="FFC9A84C"/>
      </bottom>
      <diagonal/>
    </border>
    <border>
      <left style="thin">
        <color rgb="FFCCCCCC"/>
      </left>
      <right/>
      <top style="medium">
        <color rgb="FFC9A84C"/>
      </top>
      <bottom style="medium">
        <color rgb="FF1B3A6B"/>
      </bottom>
      <diagonal/>
    </border>
    <border>
      <left style="thin">
        <color rgb="FFCCCCCC"/>
      </left>
      <right/>
      <top style="medium">
        <color rgb="FF1B3A6B"/>
      </top>
      <bottom/>
      <diagonal/>
    </border>
    <border>
      <left style="thin">
        <color rgb="FFCCCCCC"/>
      </left>
      <right/>
      <top style="medium">
        <color rgb="FF1B3A6B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B3A6B"/>
      </top>
      <bottom/>
      <diagonal/>
    </border>
    <border>
      <left style="thin">
        <color rgb="FFCCCCCC"/>
      </left>
      <right/>
      <top/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/>
      <bottom style="medium">
        <color rgb="FFC9A84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C9A84C"/>
      </top>
      <bottom/>
      <diagonal/>
    </border>
    <border>
      <left/>
      <right style="medium">
        <color rgb="FFC9A84C"/>
      </right>
      <top style="medium">
        <color rgb="FFC9A84C"/>
      </top>
      <bottom/>
      <diagonal/>
    </border>
  </borders>
  <cellStyleXfs count="2">
    <xf numFmtId="0" fontId="0" fillId="0" borderId="0"/>
    <xf numFmtId="9" fontId="1" fillId="0" borderId="0"/>
  </cellStyleXfs>
  <cellXfs count="236">
    <xf numFmtId="0" fontId="0" fillId="0" borderId="0" xfId="0"/>
    <xf numFmtId="0" fontId="0" fillId="3" borderId="0" xfId="0" applyFill="1"/>
    <xf numFmtId="165" fontId="0" fillId="0" borderId="0" xfId="0" applyNumberFormat="1"/>
    <xf numFmtId="169" fontId="0" fillId="0" borderId="0" xfId="0" applyNumberFormat="1"/>
    <xf numFmtId="0" fontId="6" fillId="2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left" vertical="center" wrapText="1"/>
    </xf>
    <xf numFmtId="169" fontId="6" fillId="2" borderId="2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4" fontId="11" fillId="4" borderId="3" xfId="0" applyNumberFormat="1" applyFont="1" applyFill="1" applyBorder="1" applyAlignment="1">
      <alignment horizontal="right" vertical="center" wrapText="1"/>
    </xf>
    <xf numFmtId="169" fontId="12" fillId="4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4" fontId="11" fillId="5" borderId="3" xfId="0" applyNumberFormat="1" applyFont="1" applyFill="1" applyBorder="1" applyAlignment="1">
      <alignment horizontal="right" vertical="center" wrapText="1"/>
    </xf>
    <xf numFmtId="169" fontId="14" fillId="5" borderId="3" xfId="0" applyNumberFormat="1" applyFont="1" applyFill="1" applyBorder="1" applyAlignment="1">
      <alignment horizontal="right" vertical="center" wrapText="1"/>
    </xf>
    <xf numFmtId="169" fontId="15" fillId="0" borderId="3" xfId="1" applyNumberFormat="1" applyFont="1" applyBorder="1" applyAlignment="1">
      <alignment horizontal="right" vertical="center" wrapText="1"/>
    </xf>
    <xf numFmtId="9" fontId="15" fillId="0" borderId="0" xfId="1" applyFont="1"/>
    <xf numFmtId="0" fontId="8" fillId="6" borderId="3" xfId="0" applyFont="1" applyFill="1" applyBorder="1" applyAlignment="1">
      <alignment horizontal="left" vertical="center" wrapText="1"/>
    </xf>
    <xf numFmtId="167" fontId="17" fillId="0" borderId="0" xfId="0" applyNumberFormat="1" applyFont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/>
    </xf>
    <xf numFmtId="164" fontId="11" fillId="4" borderId="3" xfId="0" applyNumberFormat="1" applyFont="1" applyFill="1" applyBorder="1" applyAlignment="1">
      <alignment horizontal="right" vertical="center" wrapText="1"/>
    </xf>
    <xf numFmtId="164" fontId="14" fillId="4" borderId="3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wrapText="1"/>
    </xf>
    <xf numFmtId="164" fontId="11" fillId="5" borderId="3" xfId="0" applyNumberFormat="1" applyFont="1" applyFill="1" applyBorder="1" applyAlignment="1">
      <alignment horizontal="right" vertical="center" wrapText="1"/>
    </xf>
    <xf numFmtId="164" fontId="14" fillId="5" borderId="3" xfId="0" applyNumberFormat="1" applyFont="1" applyFill="1" applyBorder="1" applyAlignment="1">
      <alignment horizontal="right" vertical="center" wrapText="1"/>
    </xf>
    <xf numFmtId="0" fontId="11" fillId="12" borderId="0" xfId="0" applyFont="1" applyFill="1" applyAlignment="1">
      <alignment horizontal="center"/>
    </xf>
    <xf numFmtId="49" fontId="11" fillId="12" borderId="0" xfId="0" applyNumberFormat="1" applyFont="1" applyFill="1" applyAlignment="1">
      <alignment horizontal="center"/>
    </xf>
    <xf numFmtId="164" fontId="11" fillId="12" borderId="0" xfId="0" applyNumberFormat="1" applyFont="1" applyFill="1" applyAlignment="1">
      <alignment horizontal="center"/>
    </xf>
    <xf numFmtId="0" fontId="13" fillId="3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horizontal="left" vertical="center" wrapText="1"/>
    </xf>
    <xf numFmtId="164" fontId="16" fillId="4" borderId="3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22" fillId="18" borderId="19" xfId="0" applyFont="1" applyFill="1" applyBorder="1" applyAlignment="1">
      <alignment horizontal="left" wrapText="1"/>
    </xf>
    <xf numFmtId="0" fontId="23" fillId="3" borderId="0" xfId="0" applyFont="1" applyFill="1"/>
    <xf numFmtId="0" fontId="15" fillId="0" borderId="0" xfId="0" applyFont="1" applyAlignment="1">
      <alignment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5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16" fillId="4" borderId="4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64" fontId="18" fillId="8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11" xfId="0" applyBorder="1"/>
    <xf numFmtId="0" fontId="20" fillId="4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6" fillId="9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10" borderId="0" xfId="0" applyFont="1" applyFill="1" applyAlignment="1">
      <alignment horizontal="right"/>
    </xf>
    <xf numFmtId="0" fontId="26" fillId="10" borderId="0" xfId="0" applyFont="1" applyFill="1" applyAlignment="1">
      <alignment horizontal="right" wrapText="1"/>
    </xf>
    <xf numFmtId="170" fontId="27" fillId="10" borderId="0" xfId="0" applyNumberFormat="1" applyFont="1" applyFill="1" applyAlignment="1">
      <alignment horizontal="center"/>
    </xf>
    <xf numFmtId="0" fontId="26" fillId="10" borderId="0" xfId="0" applyFont="1" applyFill="1" applyAlignment="1">
      <alignment horizontal="right"/>
    </xf>
    <xf numFmtId="2" fontId="27" fillId="10" borderId="0" xfId="0" applyNumberFormat="1" applyFont="1" applyFill="1" applyAlignment="1">
      <alignment horizontal="center"/>
    </xf>
    <xf numFmtId="0" fontId="28" fillId="0" borderId="0" xfId="0" applyFont="1"/>
    <xf numFmtId="9" fontId="27" fillId="21" borderId="0" xfId="0" applyNumberFormat="1" applyFont="1" applyFill="1"/>
    <xf numFmtId="0" fontId="24" fillId="0" borderId="15" xfId="0" applyFont="1" applyBorder="1"/>
    <xf numFmtId="0" fontId="24" fillId="0" borderId="16" xfId="0" applyFont="1" applyBorder="1"/>
    <xf numFmtId="0" fontId="24" fillId="0" borderId="0" xfId="0" applyFont="1" applyAlignment="1">
      <alignment wrapText="1"/>
    </xf>
    <xf numFmtId="0" fontId="4" fillId="9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wrapText="1"/>
    </xf>
    <xf numFmtId="0" fontId="4" fillId="9" borderId="10" xfId="0" applyFont="1" applyFill="1" applyBorder="1" applyAlignment="1">
      <alignment horizontal="center" wrapText="1"/>
    </xf>
    <xf numFmtId="0" fontId="4" fillId="22" borderId="36" xfId="0" applyFont="1" applyFill="1" applyBorder="1" applyAlignment="1">
      <alignment wrapText="1"/>
    </xf>
    <xf numFmtId="0" fontId="4" fillId="22" borderId="37" xfId="0" applyFont="1" applyFill="1" applyBorder="1" applyAlignment="1">
      <alignment wrapText="1"/>
    </xf>
    <xf numFmtId="0" fontId="4" fillId="23" borderId="37" xfId="0" applyFont="1" applyFill="1" applyBorder="1" applyAlignment="1">
      <alignment wrapText="1"/>
    </xf>
    <xf numFmtId="0" fontId="4" fillId="24" borderId="37" xfId="0" applyFont="1" applyFill="1" applyBorder="1" applyAlignment="1">
      <alignment wrapText="1"/>
    </xf>
    <xf numFmtId="0" fontId="4" fillId="24" borderId="38" xfId="0" applyFont="1" applyFill="1" applyBorder="1" applyAlignment="1">
      <alignment wrapText="1"/>
    </xf>
    <xf numFmtId="0" fontId="4" fillId="22" borderId="30" xfId="0" applyFont="1" applyFill="1" applyBorder="1" applyAlignment="1">
      <alignment wrapText="1"/>
    </xf>
    <xf numFmtId="0" fontId="4" fillId="22" borderId="28" xfId="0" applyFont="1" applyFill="1" applyBorder="1" applyAlignment="1">
      <alignment wrapText="1"/>
    </xf>
    <xf numFmtId="0" fontId="4" fillId="22" borderId="33" xfId="0" applyFont="1" applyFill="1" applyBorder="1" applyAlignment="1">
      <alignment wrapText="1"/>
    </xf>
    <xf numFmtId="0" fontId="4" fillId="22" borderId="0" xfId="0" applyFont="1" applyFill="1" applyAlignment="1">
      <alignment wrapText="1"/>
    </xf>
    <xf numFmtId="171" fontId="29" fillId="4" borderId="3" xfId="0" applyNumberFormat="1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center" vertical="center" wrapText="1"/>
    </xf>
    <xf numFmtId="172" fontId="24" fillId="0" borderId="0" xfId="0" applyNumberFormat="1" applyFont="1" applyAlignment="1">
      <alignment horizontal="right"/>
    </xf>
    <xf numFmtId="0" fontId="4" fillId="9" borderId="7" xfId="0" applyFont="1" applyFill="1" applyBorder="1" applyAlignment="1">
      <alignment wrapText="1"/>
    </xf>
    <xf numFmtId="164" fontId="30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/>
    </xf>
    <xf numFmtId="2" fontId="33" fillId="0" borderId="0" xfId="0" applyNumberFormat="1" applyFont="1"/>
    <xf numFmtId="1" fontId="33" fillId="0" borderId="0" xfId="0" applyNumberFormat="1" applyFont="1"/>
    <xf numFmtId="0" fontId="24" fillId="0" borderId="31" xfId="0" applyFont="1" applyBorder="1"/>
    <xf numFmtId="0" fontId="24" fillId="0" borderId="34" xfId="0" applyFont="1" applyBorder="1"/>
    <xf numFmtId="0" fontId="29" fillId="5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29" fillId="11" borderId="19" xfId="0" applyFont="1" applyFill="1" applyBorder="1" applyAlignment="1">
      <alignment wrapText="1"/>
    </xf>
    <xf numFmtId="166" fontId="24" fillId="0" borderId="0" xfId="0" applyNumberFormat="1" applyFont="1"/>
    <xf numFmtId="166" fontId="24" fillId="0" borderId="34" xfId="0" applyNumberFormat="1" applyFont="1" applyBorder="1"/>
    <xf numFmtId="0" fontId="29" fillId="4" borderId="3" xfId="0" applyFont="1" applyFill="1" applyBorder="1" applyAlignment="1">
      <alignment horizontal="center" vertical="center" wrapText="1"/>
    </xf>
    <xf numFmtId="168" fontId="24" fillId="0" borderId="0" xfId="0" applyNumberFormat="1" applyFont="1"/>
    <xf numFmtId="168" fontId="24" fillId="0" borderId="34" xfId="0" applyNumberFormat="1" applyFont="1" applyBorder="1"/>
    <xf numFmtId="0" fontId="24" fillId="11" borderId="19" xfId="0" applyFont="1" applyFill="1" applyBorder="1" applyAlignment="1">
      <alignment wrapText="1"/>
    </xf>
    <xf numFmtId="2" fontId="24" fillId="0" borderId="0" xfId="0" applyNumberFormat="1" applyFont="1"/>
    <xf numFmtId="2" fontId="24" fillId="0" borderId="34" xfId="0" applyNumberFormat="1" applyFont="1" applyBorder="1"/>
    <xf numFmtId="173" fontId="24" fillId="0" borderId="0" xfId="0" applyNumberFormat="1" applyFont="1"/>
    <xf numFmtId="173" fontId="24" fillId="0" borderId="34" xfId="0" applyNumberFormat="1" applyFont="1" applyBorder="1"/>
    <xf numFmtId="0" fontId="28" fillId="0" borderId="32" xfId="0" applyFont="1" applyBorder="1"/>
    <xf numFmtId="0" fontId="28" fillId="0" borderId="29" xfId="0" applyFont="1" applyBorder="1"/>
    <xf numFmtId="0" fontId="28" fillId="0" borderId="35" xfId="0" applyFont="1" applyBorder="1"/>
    <xf numFmtId="0" fontId="25" fillId="13" borderId="19" xfId="0" applyFont="1" applyFill="1" applyBorder="1" applyAlignment="1">
      <alignment wrapText="1"/>
    </xf>
    <xf numFmtId="0" fontId="4" fillId="23" borderId="30" xfId="0" applyFont="1" applyFill="1" applyBorder="1"/>
    <xf numFmtId="0" fontId="4" fillId="23" borderId="28" xfId="0" applyFont="1" applyFill="1" applyBorder="1"/>
    <xf numFmtId="0" fontId="4" fillId="23" borderId="33" xfId="0" applyFont="1" applyFill="1" applyBorder="1"/>
    <xf numFmtId="174" fontId="24" fillId="0" borderId="0" xfId="0" applyNumberFormat="1" applyFont="1"/>
    <xf numFmtId="174" fontId="24" fillId="0" borderId="34" xfId="0" applyNumberFormat="1" applyFont="1" applyBorder="1"/>
    <xf numFmtId="0" fontId="24" fillId="0" borderId="32" xfId="0" applyFont="1" applyBorder="1"/>
    <xf numFmtId="2" fontId="24" fillId="0" borderId="29" xfId="0" applyNumberFormat="1" applyFont="1" applyBorder="1"/>
    <xf numFmtId="0" fontId="34" fillId="0" borderId="29" xfId="0" applyFont="1" applyBorder="1"/>
    <xf numFmtId="0" fontId="24" fillId="0" borderId="35" xfId="0" applyFont="1" applyBorder="1"/>
    <xf numFmtId="164" fontId="33" fillId="5" borderId="3" xfId="0" applyNumberFormat="1" applyFont="1" applyFill="1" applyBorder="1" applyAlignment="1">
      <alignment horizontal="right" vertical="center" wrapText="1"/>
    </xf>
    <xf numFmtId="166" fontId="33" fillId="5" borderId="3" xfId="0" applyNumberFormat="1" applyFont="1" applyFill="1" applyBorder="1" applyAlignment="1">
      <alignment horizontal="right" vertical="center" wrapText="1"/>
    </xf>
    <xf numFmtId="164" fontId="33" fillId="4" borderId="3" xfId="0" applyNumberFormat="1" applyFont="1" applyFill="1" applyBorder="1" applyAlignment="1">
      <alignment horizontal="right" vertical="center" wrapText="1"/>
    </xf>
    <xf numFmtId="166" fontId="33" fillId="4" borderId="3" xfId="0" applyNumberFormat="1" applyFont="1" applyFill="1" applyBorder="1" applyAlignment="1">
      <alignment horizontal="right" vertical="center" wrapText="1"/>
    </xf>
    <xf numFmtId="0" fontId="22" fillId="18" borderId="19" xfId="0" applyFont="1" applyFill="1" applyBorder="1" applyAlignment="1">
      <alignment wrapText="1"/>
    </xf>
    <xf numFmtId="0" fontId="35" fillId="17" borderId="19" xfId="0" applyFont="1" applyFill="1" applyBorder="1" applyAlignment="1">
      <alignment wrapText="1"/>
    </xf>
    <xf numFmtId="0" fontId="4" fillId="19" borderId="7" xfId="0" applyFont="1" applyFill="1" applyBorder="1" applyAlignment="1">
      <alignment wrapText="1"/>
    </xf>
    <xf numFmtId="0" fontId="36" fillId="20" borderId="19" xfId="0" applyFont="1" applyFill="1" applyBorder="1" applyAlignment="1">
      <alignment wrapText="1"/>
    </xf>
    <xf numFmtId="0" fontId="37" fillId="20" borderId="3" xfId="0" applyFont="1" applyFill="1" applyBorder="1" applyAlignment="1">
      <alignment wrapText="1"/>
    </xf>
    <xf numFmtId="0" fontId="28" fillId="10" borderId="0" xfId="0" applyFont="1" applyFill="1" applyAlignment="1">
      <alignment horizontal="right"/>
    </xf>
    <xf numFmtId="168" fontId="27" fillId="10" borderId="0" xfId="0" applyNumberFormat="1" applyFont="1" applyFill="1" applyAlignment="1">
      <alignment horizontal="center"/>
    </xf>
    <xf numFmtId="164" fontId="27" fillId="10" borderId="21" xfId="0" applyNumberFormat="1" applyFont="1" applyFill="1" applyBorder="1" applyAlignment="1">
      <alignment horizontal="center"/>
    </xf>
    <xf numFmtId="0" fontId="24" fillId="10" borderId="21" xfId="0" applyFont="1" applyFill="1" applyBorder="1"/>
    <xf numFmtId="0" fontId="26" fillId="10" borderId="20" xfId="0" applyFont="1" applyFill="1" applyBorder="1" applyAlignment="1">
      <alignment horizontal="right"/>
    </xf>
    <xf numFmtId="164" fontId="27" fillId="10" borderId="26" xfId="0" applyNumberFormat="1" applyFont="1" applyFill="1" applyBorder="1" applyAlignment="1">
      <alignment horizontal="center"/>
    </xf>
    <xf numFmtId="0" fontId="24" fillId="10" borderId="26" xfId="0" applyFont="1" applyFill="1" applyBorder="1"/>
    <xf numFmtId="0" fontId="24" fillId="10" borderId="27" xfId="0" applyFont="1" applyFill="1" applyBorder="1"/>
    <xf numFmtId="0" fontId="4" fillId="9" borderId="9" xfId="0" applyFont="1" applyFill="1" applyBorder="1" applyAlignment="1">
      <alignment horizontal="center"/>
    </xf>
    <xf numFmtId="0" fontId="24" fillId="0" borderId="39" xfId="0" applyFont="1" applyBorder="1"/>
    <xf numFmtId="0" fontId="24" fillId="0" borderId="40" xfId="0" applyFont="1" applyBorder="1"/>
    <xf numFmtId="0" fontId="4" fillId="9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wrapText="1"/>
    </xf>
    <xf numFmtId="0" fontId="4" fillId="9" borderId="7" xfId="0" applyFont="1" applyFill="1" applyBorder="1" applyAlignment="1">
      <alignment horizontal="center" wrapText="1"/>
    </xf>
    <xf numFmtId="0" fontId="31" fillId="11" borderId="13" xfId="0" applyFont="1" applyFill="1" applyBorder="1" applyAlignment="1">
      <alignment horizontal="center"/>
    </xf>
    <xf numFmtId="0" fontId="39" fillId="4" borderId="11" xfId="0" applyFont="1" applyFill="1" applyBorder="1" applyAlignment="1">
      <alignment horizontal="center" vertical="center" wrapText="1"/>
    </xf>
    <xf numFmtId="165" fontId="30" fillId="4" borderId="3" xfId="0" applyNumberFormat="1" applyFont="1" applyFill="1" applyBorder="1" applyAlignment="1">
      <alignment horizontal="right" vertical="center" wrapText="1"/>
    </xf>
    <xf numFmtId="0" fontId="31" fillId="4" borderId="4" xfId="0" applyFont="1" applyFill="1" applyBorder="1" applyAlignment="1">
      <alignment horizontal="center" vertical="center" wrapText="1"/>
    </xf>
    <xf numFmtId="165" fontId="30" fillId="4" borderId="17" xfId="0" applyNumberFormat="1" applyFont="1" applyFill="1" applyBorder="1" applyAlignment="1">
      <alignment horizontal="right" vertical="center" wrapText="1"/>
    </xf>
    <xf numFmtId="0" fontId="4" fillId="9" borderId="18" xfId="0" applyFont="1" applyFill="1" applyBorder="1" applyAlignment="1">
      <alignment horizontal="left" wrapText="1"/>
    </xf>
    <xf numFmtId="165" fontId="30" fillId="11" borderId="24" xfId="0" applyNumberFormat="1" applyFont="1" applyFill="1" applyBorder="1" applyAlignment="1">
      <alignment horizontal="right"/>
    </xf>
    <xf numFmtId="0" fontId="31" fillId="11" borderId="23" xfId="0" applyFont="1" applyFill="1" applyBorder="1" applyAlignment="1">
      <alignment horizontal="center"/>
    </xf>
    <xf numFmtId="165" fontId="30" fillId="11" borderId="23" xfId="0" applyNumberFormat="1" applyFont="1" applyFill="1" applyBorder="1" applyAlignment="1">
      <alignment horizontal="right"/>
    </xf>
    <xf numFmtId="0" fontId="31" fillId="11" borderId="25" xfId="0" applyFont="1" applyFill="1" applyBorder="1" applyAlignment="1">
      <alignment horizontal="center"/>
    </xf>
    <xf numFmtId="165" fontId="30" fillId="5" borderId="3" xfId="0" applyNumberFormat="1" applyFont="1" applyFill="1" applyBorder="1" applyAlignment="1">
      <alignment horizontal="right" vertical="center" wrapText="1"/>
    </xf>
    <xf numFmtId="0" fontId="39" fillId="5" borderId="3" xfId="0" applyFont="1" applyFill="1" applyBorder="1" applyAlignment="1">
      <alignment horizontal="center" vertical="center" wrapText="1"/>
    </xf>
    <xf numFmtId="165" fontId="33" fillId="5" borderId="3" xfId="0" applyNumberFormat="1" applyFont="1" applyFill="1" applyBorder="1" applyAlignment="1">
      <alignment horizontal="right" vertical="center" wrapText="1"/>
    </xf>
    <xf numFmtId="165" fontId="30" fillId="5" borderId="4" xfId="0" applyNumberFormat="1" applyFont="1" applyFill="1" applyBorder="1" applyAlignment="1">
      <alignment horizontal="right" vertical="center" wrapText="1"/>
    </xf>
    <xf numFmtId="0" fontId="29" fillId="11" borderId="19" xfId="0" applyFont="1" applyFill="1" applyBorder="1" applyAlignment="1">
      <alignment horizontal="left" wrapText="1"/>
    </xf>
    <xf numFmtId="165" fontId="33" fillId="12" borderId="4" xfId="0" applyNumberFormat="1" applyFont="1" applyFill="1" applyBorder="1" applyAlignment="1">
      <alignment horizontal="right"/>
    </xf>
    <xf numFmtId="0" fontId="39" fillId="4" borderId="3" xfId="0" applyFont="1" applyFill="1" applyBorder="1" applyAlignment="1">
      <alignment horizontal="center" vertical="center" wrapText="1"/>
    </xf>
    <xf numFmtId="165" fontId="33" fillId="4" borderId="3" xfId="0" applyNumberFormat="1" applyFont="1" applyFill="1" applyBorder="1" applyAlignment="1">
      <alignment horizontal="right" vertical="center" wrapText="1"/>
    </xf>
    <xf numFmtId="165" fontId="30" fillId="4" borderId="4" xfId="0" applyNumberFormat="1" applyFont="1" applyFill="1" applyBorder="1" applyAlignment="1">
      <alignment horizontal="right" vertical="center" wrapText="1"/>
    </xf>
    <xf numFmtId="0" fontId="25" fillId="13" borderId="19" xfId="0" applyFont="1" applyFill="1" applyBorder="1" applyAlignment="1">
      <alignment horizontal="left" wrapText="1"/>
    </xf>
    <xf numFmtId="0" fontId="40" fillId="11" borderId="19" xfId="0" applyFont="1" applyFill="1" applyBorder="1" applyAlignment="1">
      <alignment horizontal="left" wrapText="1"/>
    </xf>
    <xf numFmtId="0" fontId="4" fillId="9" borderId="7" xfId="0" applyFont="1" applyFill="1" applyBorder="1" applyAlignment="1">
      <alignment horizontal="left" wrapText="1"/>
    </xf>
    <xf numFmtId="0" fontId="35" fillId="17" borderId="19" xfId="0" applyFont="1" applyFill="1" applyBorder="1" applyAlignment="1">
      <alignment horizontal="left" wrapText="1"/>
    </xf>
    <xf numFmtId="0" fontId="41" fillId="11" borderId="19" xfId="0" applyFont="1" applyFill="1" applyBorder="1" applyAlignment="1">
      <alignment horizontal="left" wrapText="1"/>
    </xf>
    <xf numFmtId="165" fontId="33" fillId="5" borderId="4" xfId="0" applyNumberFormat="1" applyFont="1" applyFill="1" applyBorder="1" applyAlignment="1">
      <alignment horizontal="right" vertical="center" wrapText="1"/>
    </xf>
    <xf numFmtId="165" fontId="33" fillId="4" borderId="4" xfId="0" applyNumberFormat="1" applyFont="1" applyFill="1" applyBorder="1" applyAlignment="1">
      <alignment horizontal="right" vertical="center" wrapText="1"/>
    </xf>
    <xf numFmtId="0" fontId="29" fillId="11" borderId="3" xfId="0" applyFont="1" applyFill="1" applyBorder="1" applyAlignment="1">
      <alignment horizontal="left" wrapText="1"/>
    </xf>
    <xf numFmtId="0" fontId="22" fillId="18" borderId="6" xfId="0" applyFont="1" applyFill="1" applyBorder="1" applyAlignment="1">
      <alignment horizontal="left" wrapText="1"/>
    </xf>
    <xf numFmtId="0" fontId="25" fillId="13" borderId="3" xfId="0" applyFont="1" applyFill="1" applyBorder="1" applyAlignment="1">
      <alignment horizontal="left" wrapText="1"/>
    </xf>
    <xf numFmtId="0" fontId="29" fillId="11" borderId="6" xfId="0" applyFont="1" applyFill="1" applyBorder="1" applyAlignment="1">
      <alignment horizontal="left" wrapText="1"/>
    </xf>
    <xf numFmtId="0" fontId="4" fillId="19" borderId="7" xfId="0" applyFont="1" applyFill="1" applyBorder="1" applyAlignment="1">
      <alignment horizontal="left" wrapText="1"/>
    </xf>
    <xf numFmtId="0" fontId="36" fillId="20" borderId="19" xfId="0" applyFont="1" applyFill="1" applyBorder="1" applyAlignment="1">
      <alignment horizontal="left" wrapText="1"/>
    </xf>
    <xf numFmtId="0" fontId="36" fillId="20" borderId="19" xfId="0" applyFont="1" applyFill="1" applyBorder="1" applyAlignment="1">
      <alignment horizontal="left"/>
    </xf>
    <xf numFmtId="0" fontId="37" fillId="20" borderId="19" xfId="0" applyFont="1" applyFill="1" applyBorder="1" applyAlignment="1">
      <alignment horizontal="left" wrapText="1"/>
    </xf>
    <xf numFmtId="0" fontId="4" fillId="9" borderId="7" xfId="0" applyFont="1" applyFill="1" applyBorder="1" applyAlignment="1">
      <alignment horizontal="left"/>
    </xf>
    <xf numFmtId="0" fontId="29" fillId="11" borderId="19" xfId="0" applyFont="1" applyFill="1" applyBorder="1" applyAlignment="1">
      <alignment horizontal="left"/>
    </xf>
    <xf numFmtId="0" fontId="25" fillId="13" borderId="19" xfId="0" applyFont="1" applyFill="1" applyBorder="1" applyAlignment="1">
      <alignment horizontal="left"/>
    </xf>
    <xf numFmtId="0" fontId="37" fillId="20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 wrapText="1"/>
    </xf>
    <xf numFmtId="0" fontId="29" fillId="4" borderId="3" xfId="0" applyFont="1" applyFill="1" applyBorder="1" applyAlignment="1">
      <alignment horizontal="left" vertical="center" wrapText="1"/>
    </xf>
    <xf numFmtId="0" fontId="22" fillId="8" borderId="3" xfId="0" applyFont="1" applyFill="1" applyBorder="1" applyAlignment="1">
      <alignment horizontal="left" vertical="center" wrapText="1"/>
    </xf>
    <xf numFmtId="0" fontId="25" fillId="3" borderId="3" xfId="0" applyFont="1" applyFill="1" applyBorder="1" applyAlignment="1">
      <alignment horizontal="left" vertical="center" wrapText="1"/>
    </xf>
    <xf numFmtId="0" fontId="42" fillId="6" borderId="3" xfId="0" applyFont="1" applyFill="1" applyBorder="1" applyAlignment="1">
      <alignment horizontal="left" vertical="center" wrapText="1"/>
    </xf>
    <xf numFmtId="0" fontId="38" fillId="7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4" fillId="0" borderId="14" xfId="0" applyFont="1" applyBorder="1"/>
    <xf numFmtId="0" fontId="24" fillId="0" borderId="11" xfId="0" applyFont="1" applyBorder="1"/>
    <xf numFmtId="165" fontId="26" fillId="5" borderId="3" xfId="0" applyNumberFormat="1" applyFont="1" applyFill="1" applyBorder="1" applyAlignment="1">
      <alignment horizontal="right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65" fontId="26" fillId="4" borderId="3" xfId="0" applyNumberFormat="1" applyFont="1" applyFill="1" applyBorder="1" applyAlignment="1">
      <alignment horizontal="right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43" fillId="14" borderId="2" xfId="0" applyFont="1" applyFill="1" applyBorder="1" applyAlignment="1">
      <alignment horizontal="center" vertical="center" wrapText="1"/>
    </xf>
    <xf numFmtId="0" fontId="44" fillId="13" borderId="6" xfId="0" applyFont="1" applyFill="1" applyBorder="1" applyAlignment="1">
      <alignment horizontal="center" vertical="center" wrapText="1"/>
    </xf>
    <xf numFmtId="165" fontId="30" fillId="15" borderId="3" xfId="0" applyNumberFormat="1" applyFont="1" applyFill="1" applyBorder="1" applyAlignment="1">
      <alignment horizontal="right" vertical="center" wrapText="1"/>
    </xf>
    <xf numFmtId="49" fontId="31" fillId="15" borderId="3" xfId="0" applyNumberFormat="1" applyFont="1" applyFill="1" applyBorder="1" applyAlignment="1">
      <alignment horizontal="center" vertical="center" wrapText="1"/>
    </xf>
    <xf numFmtId="2" fontId="45" fillId="0" borderId="0" xfId="0" applyNumberFormat="1" applyFont="1"/>
    <xf numFmtId="0" fontId="33" fillId="0" borderId="0" xfId="0" applyFont="1"/>
    <xf numFmtId="169" fontId="46" fillId="16" borderId="3" xfId="1" applyNumberFormat="1" applyFont="1" applyFill="1" applyBorder="1" applyAlignment="1">
      <alignment horizontal="right" vertical="center" wrapText="1"/>
    </xf>
    <xf numFmtId="0" fontId="26" fillId="0" borderId="0" xfId="0" applyFont="1"/>
    <xf numFmtId="0" fontId="4" fillId="9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 wrapText="1"/>
    </xf>
    <xf numFmtId="0" fontId="24" fillId="16" borderId="0" xfId="0" applyFont="1" applyFill="1"/>
    <xf numFmtId="0" fontId="40" fillId="11" borderId="0" xfId="0" applyFont="1" applyFill="1" applyAlignment="1">
      <alignment horizontal="center"/>
    </xf>
    <xf numFmtId="0" fontId="29" fillId="11" borderId="0" xfId="0" applyFont="1" applyFill="1"/>
    <xf numFmtId="0" fontId="28" fillId="25" borderId="0" xfId="0" applyFont="1" applyFill="1"/>
    <xf numFmtId="165" fontId="24" fillId="25" borderId="0" xfId="0" applyNumberFormat="1" applyFont="1" applyFill="1" applyAlignment="1">
      <alignment horizontal="right"/>
    </xf>
    <xf numFmtId="169" fontId="24" fillId="25" borderId="0" xfId="0" applyNumberFormat="1" applyFont="1" applyFill="1" applyAlignment="1">
      <alignment horizontal="right"/>
    </xf>
    <xf numFmtId="2" fontId="24" fillId="25" borderId="0" xfId="0" applyNumberFormat="1" applyFont="1" applyFill="1"/>
    <xf numFmtId="0" fontId="4" fillId="26" borderId="0" xfId="0" applyFont="1" applyFill="1" applyAlignment="1">
      <alignment horizontal="center"/>
    </xf>
    <xf numFmtId="0" fontId="4" fillId="27" borderId="0" xfId="0" applyFont="1" applyFill="1" applyAlignment="1">
      <alignment horizontal="center"/>
    </xf>
    <xf numFmtId="0" fontId="24" fillId="27" borderId="0" xfId="0" applyFont="1" applyFill="1"/>
    <xf numFmtId="0" fontId="28" fillId="27" borderId="0" xfId="0" applyFont="1" applyFill="1"/>
    <xf numFmtId="0" fontId="24" fillId="0" borderId="0" xfId="0" applyFont="1" applyFill="1"/>
    <xf numFmtId="9" fontId="1" fillId="0" borderId="0" xfId="1"/>
    <xf numFmtId="10" fontId="1" fillId="0" borderId="0" xfId="1" applyNumberFormat="1"/>
    <xf numFmtId="178" fontId="30" fillId="0" borderId="0" xfId="0" applyNumberFormat="1" applyFont="1" applyAlignment="1">
      <alignment horizontal="right"/>
    </xf>
    <xf numFmtId="165" fontId="24" fillId="28" borderId="0" xfId="0" applyNumberFormat="1" applyFont="1" applyFill="1"/>
    <xf numFmtId="165" fontId="33" fillId="29" borderId="3" xfId="0" applyNumberFormat="1" applyFont="1" applyFill="1" applyBorder="1" applyAlignment="1">
      <alignment horizontal="right" vertical="center" wrapText="1"/>
    </xf>
    <xf numFmtId="0" fontId="29" fillId="0" borderId="3" xfId="0" applyFont="1" applyFill="1" applyBorder="1" applyAlignment="1">
      <alignment horizontal="center" vertical="center" wrapText="1"/>
    </xf>
    <xf numFmtId="10" fontId="1" fillId="0" borderId="0" xfId="1" applyNumberFormat="1" applyFill="1"/>
    <xf numFmtId="164" fontId="33" fillId="0" borderId="3" xfId="0" applyNumberFormat="1" applyFont="1" applyFill="1" applyBorder="1" applyAlignment="1">
      <alignment horizontal="right" vertical="center" wrapText="1"/>
    </xf>
    <xf numFmtId="166" fontId="33" fillId="0" borderId="3" xfId="0" applyNumberFormat="1" applyFont="1" applyFill="1" applyBorder="1" applyAlignment="1">
      <alignment horizontal="right" vertical="center" wrapText="1"/>
    </xf>
    <xf numFmtId="166" fontId="33" fillId="30" borderId="3" xfId="0" applyNumberFormat="1" applyFont="1" applyFill="1" applyBorder="1" applyAlignment="1">
      <alignment horizontal="right" vertical="center" wrapText="1"/>
    </xf>
    <xf numFmtId="166" fontId="33" fillId="31" borderId="3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E68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E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3CD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DF6EC"/>
      <rgbColor rgb="FFF9F9F9"/>
      <rgbColor rgb="FFFF99CC"/>
      <rgbColor rgb="FFCC99FF"/>
      <rgbColor rgb="FFFFD6D6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1B3A6B"/>
      <rgbColor rgb="FF339966"/>
      <rgbColor rgb="FF003300"/>
      <rgbColor rgb="FF1A1A2E"/>
      <rgbColor rgb="FFC0392B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'1.RETURNS'!$D$3:$D$4</c:f>
              <c:strCache>
                <c:ptCount val="2"/>
                <c:pt idx="0">
                  <c:v>Log-Return</c:v>
                </c:pt>
                <c:pt idx="1">
                  <c:v>n/a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'1.RETURNS'!$A$5:$A$255</c:f>
              <c:strCache>
                <c:ptCount val="251"/>
                <c:pt idx="0">
                  <c:v>03-Jan-2023</c:v>
                </c:pt>
                <c:pt idx="1">
                  <c:v>04-Jan-2023</c:v>
                </c:pt>
                <c:pt idx="2">
                  <c:v>05-Jan-2023</c:v>
                </c:pt>
                <c:pt idx="3">
                  <c:v>06-Jan-2023</c:v>
                </c:pt>
                <c:pt idx="4">
                  <c:v>09-Jan-2023</c:v>
                </c:pt>
                <c:pt idx="5">
                  <c:v>10-Jan-2023</c:v>
                </c:pt>
                <c:pt idx="6">
                  <c:v>11-Jan-2023</c:v>
                </c:pt>
                <c:pt idx="7">
                  <c:v>12-Jan-2023</c:v>
                </c:pt>
                <c:pt idx="8">
                  <c:v>13-Jan-2023</c:v>
                </c:pt>
                <c:pt idx="9">
                  <c:v>16-Jan-2023</c:v>
                </c:pt>
                <c:pt idx="10">
                  <c:v>17-Jan-2023</c:v>
                </c:pt>
                <c:pt idx="11">
                  <c:v>18-Jan-2023</c:v>
                </c:pt>
                <c:pt idx="12">
                  <c:v>19-Jan-2023</c:v>
                </c:pt>
                <c:pt idx="13">
                  <c:v>20-Jan-2023</c:v>
                </c:pt>
                <c:pt idx="14">
                  <c:v>23-Jan-2023</c:v>
                </c:pt>
                <c:pt idx="15">
                  <c:v>24-Jan-2023</c:v>
                </c:pt>
                <c:pt idx="16">
                  <c:v>25-Jan-2023</c:v>
                </c:pt>
                <c:pt idx="17">
                  <c:v>26-Jan-2023</c:v>
                </c:pt>
                <c:pt idx="18">
                  <c:v>27-Jan-2023</c:v>
                </c:pt>
                <c:pt idx="19">
                  <c:v>30-Jan-2023</c:v>
                </c:pt>
                <c:pt idx="20">
                  <c:v>31-Jan-2023</c:v>
                </c:pt>
                <c:pt idx="21">
                  <c:v>01-Feb-2023</c:v>
                </c:pt>
                <c:pt idx="22">
                  <c:v>02-Feb-2023</c:v>
                </c:pt>
                <c:pt idx="23">
                  <c:v>03-Feb-2023</c:v>
                </c:pt>
                <c:pt idx="24">
                  <c:v>06-Feb-2023</c:v>
                </c:pt>
                <c:pt idx="25">
                  <c:v>07-Feb-2023</c:v>
                </c:pt>
                <c:pt idx="26">
                  <c:v>08-Feb-2023</c:v>
                </c:pt>
                <c:pt idx="27">
                  <c:v>09-Feb-2023</c:v>
                </c:pt>
                <c:pt idx="28">
                  <c:v>10-Feb-2023</c:v>
                </c:pt>
                <c:pt idx="29">
                  <c:v>13-Feb-2023</c:v>
                </c:pt>
                <c:pt idx="30">
                  <c:v>14-Feb-2023</c:v>
                </c:pt>
                <c:pt idx="31">
                  <c:v>15-Feb-2023</c:v>
                </c:pt>
                <c:pt idx="32">
                  <c:v>16-Feb-2023</c:v>
                </c:pt>
                <c:pt idx="33">
                  <c:v>17-Feb-2023</c:v>
                </c:pt>
                <c:pt idx="34">
                  <c:v>20-Feb-2023</c:v>
                </c:pt>
                <c:pt idx="35">
                  <c:v>21-Feb-2023</c:v>
                </c:pt>
                <c:pt idx="36">
                  <c:v>22-Feb-2023</c:v>
                </c:pt>
                <c:pt idx="37">
                  <c:v>23-Feb-2023</c:v>
                </c:pt>
                <c:pt idx="38">
                  <c:v>24-Feb-2023</c:v>
                </c:pt>
                <c:pt idx="39">
                  <c:v>27-Feb-2023</c:v>
                </c:pt>
                <c:pt idx="40">
                  <c:v>28-Feb-2023</c:v>
                </c:pt>
                <c:pt idx="41">
                  <c:v>01-Mar-2023</c:v>
                </c:pt>
                <c:pt idx="42">
                  <c:v>02-Mar-2023</c:v>
                </c:pt>
                <c:pt idx="43">
                  <c:v>03-Mar-2023</c:v>
                </c:pt>
                <c:pt idx="44">
                  <c:v>06-Mar-2023</c:v>
                </c:pt>
                <c:pt idx="45">
                  <c:v>07-Mar-2023</c:v>
                </c:pt>
                <c:pt idx="46">
                  <c:v>08-Mar-2023</c:v>
                </c:pt>
                <c:pt idx="47">
                  <c:v>09-Mar-2023</c:v>
                </c:pt>
                <c:pt idx="48">
                  <c:v>10-Mar-2023</c:v>
                </c:pt>
                <c:pt idx="49">
                  <c:v>13-Mar-2023</c:v>
                </c:pt>
                <c:pt idx="50">
                  <c:v>14-Mar-2023</c:v>
                </c:pt>
                <c:pt idx="51">
                  <c:v>15-Mar-2023</c:v>
                </c:pt>
                <c:pt idx="52">
                  <c:v>16-Mar-2023</c:v>
                </c:pt>
                <c:pt idx="53">
                  <c:v>17-Mar-2023</c:v>
                </c:pt>
                <c:pt idx="54">
                  <c:v>20-Mar-2023</c:v>
                </c:pt>
                <c:pt idx="55">
                  <c:v>21-Mar-2023</c:v>
                </c:pt>
                <c:pt idx="56">
                  <c:v>22-Mar-2023</c:v>
                </c:pt>
                <c:pt idx="57">
                  <c:v>23-Mar-2023</c:v>
                </c:pt>
                <c:pt idx="58">
                  <c:v>24-Mar-2023</c:v>
                </c:pt>
                <c:pt idx="59">
                  <c:v>27-Mar-2023</c:v>
                </c:pt>
                <c:pt idx="60">
                  <c:v>28-Mar-2023</c:v>
                </c:pt>
                <c:pt idx="61">
                  <c:v>29-Mar-2023</c:v>
                </c:pt>
                <c:pt idx="62">
                  <c:v>30-Mar-2023</c:v>
                </c:pt>
                <c:pt idx="63">
                  <c:v>31-Mar-2023</c:v>
                </c:pt>
                <c:pt idx="64">
                  <c:v>03-Apr-2023</c:v>
                </c:pt>
                <c:pt idx="65">
                  <c:v>04-Apr-2023</c:v>
                </c:pt>
                <c:pt idx="66">
                  <c:v>05-Apr-2023</c:v>
                </c:pt>
                <c:pt idx="67">
                  <c:v>06-Apr-2023</c:v>
                </c:pt>
                <c:pt idx="68">
                  <c:v>07-Apr-2023</c:v>
                </c:pt>
                <c:pt idx="69">
                  <c:v>10-Apr-2023</c:v>
                </c:pt>
                <c:pt idx="70">
                  <c:v>11-Apr-2023</c:v>
                </c:pt>
                <c:pt idx="71">
                  <c:v>12-Apr-2023</c:v>
                </c:pt>
                <c:pt idx="72">
                  <c:v>13-Apr-2023</c:v>
                </c:pt>
                <c:pt idx="73">
                  <c:v>14-Apr-2023</c:v>
                </c:pt>
                <c:pt idx="74">
                  <c:v>17-Apr-2023</c:v>
                </c:pt>
                <c:pt idx="75">
                  <c:v>18-Apr-2023</c:v>
                </c:pt>
                <c:pt idx="76">
                  <c:v>19-Apr-2023</c:v>
                </c:pt>
                <c:pt idx="77">
                  <c:v>20-Apr-2023</c:v>
                </c:pt>
                <c:pt idx="78">
                  <c:v>21-Apr-2023</c:v>
                </c:pt>
                <c:pt idx="79">
                  <c:v>24-Apr-2023</c:v>
                </c:pt>
                <c:pt idx="80">
                  <c:v>25-Apr-2023</c:v>
                </c:pt>
                <c:pt idx="81">
                  <c:v>26-Apr-2023</c:v>
                </c:pt>
                <c:pt idx="82">
                  <c:v>27-Apr-2023</c:v>
                </c:pt>
                <c:pt idx="83">
                  <c:v>28-Apr-2023</c:v>
                </c:pt>
                <c:pt idx="84">
                  <c:v>01-May-2023</c:v>
                </c:pt>
                <c:pt idx="85">
                  <c:v>02-May-2023</c:v>
                </c:pt>
                <c:pt idx="86">
                  <c:v>03-May-2023</c:v>
                </c:pt>
                <c:pt idx="87">
                  <c:v>04-May-2023</c:v>
                </c:pt>
                <c:pt idx="88">
                  <c:v>05-May-2023</c:v>
                </c:pt>
                <c:pt idx="89">
                  <c:v>08-May-2023</c:v>
                </c:pt>
                <c:pt idx="90">
                  <c:v>09-May-2023</c:v>
                </c:pt>
                <c:pt idx="91">
                  <c:v>10-May-2023</c:v>
                </c:pt>
                <c:pt idx="92">
                  <c:v>11-May-2023</c:v>
                </c:pt>
                <c:pt idx="93">
                  <c:v>12-May-2023</c:v>
                </c:pt>
                <c:pt idx="94">
                  <c:v>15-May-2023</c:v>
                </c:pt>
                <c:pt idx="95">
                  <c:v>16-May-2023</c:v>
                </c:pt>
                <c:pt idx="96">
                  <c:v>17-May-2023</c:v>
                </c:pt>
                <c:pt idx="97">
                  <c:v>18-May-2023</c:v>
                </c:pt>
                <c:pt idx="98">
                  <c:v>19-May-2023</c:v>
                </c:pt>
                <c:pt idx="99">
                  <c:v>22-May-2023</c:v>
                </c:pt>
                <c:pt idx="100">
                  <c:v>23-May-2023</c:v>
                </c:pt>
                <c:pt idx="101">
                  <c:v>24-May-2023</c:v>
                </c:pt>
                <c:pt idx="102">
                  <c:v>25-May-2023</c:v>
                </c:pt>
                <c:pt idx="103">
                  <c:v>26-May-2023</c:v>
                </c:pt>
                <c:pt idx="104">
                  <c:v>29-May-2023</c:v>
                </c:pt>
                <c:pt idx="105">
                  <c:v>30-May-2023</c:v>
                </c:pt>
                <c:pt idx="106">
                  <c:v>31-May-2023</c:v>
                </c:pt>
                <c:pt idx="107">
                  <c:v>01-Jun-2023</c:v>
                </c:pt>
                <c:pt idx="108">
                  <c:v>02-Jun-2023</c:v>
                </c:pt>
                <c:pt idx="109">
                  <c:v>05-Jun-2023</c:v>
                </c:pt>
                <c:pt idx="110">
                  <c:v>06-Jun-2023</c:v>
                </c:pt>
                <c:pt idx="111">
                  <c:v>07-Jun-2023</c:v>
                </c:pt>
                <c:pt idx="112">
                  <c:v>08-Jun-2023</c:v>
                </c:pt>
                <c:pt idx="113">
                  <c:v>09-Jun-2023</c:v>
                </c:pt>
                <c:pt idx="114">
                  <c:v>12-Jun-2023</c:v>
                </c:pt>
                <c:pt idx="115">
                  <c:v>13-Jun-2023</c:v>
                </c:pt>
                <c:pt idx="116">
                  <c:v>14-Jun-2023</c:v>
                </c:pt>
                <c:pt idx="117">
                  <c:v>15-Jun-2023</c:v>
                </c:pt>
                <c:pt idx="118">
                  <c:v>16-Jun-2023</c:v>
                </c:pt>
                <c:pt idx="119">
                  <c:v>19-Jun-2023</c:v>
                </c:pt>
                <c:pt idx="120">
                  <c:v>20-Jun-2023</c:v>
                </c:pt>
                <c:pt idx="121">
                  <c:v>21-Jun-2023</c:v>
                </c:pt>
                <c:pt idx="122">
                  <c:v>22-Jun-2023</c:v>
                </c:pt>
                <c:pt idx="123">
                  <c:v>23-Jun-2023</c:v>
                </c:pt>
                <c:pt idx="124">
                  <c:v>26-Jun-2023</c:v>
                </c:pt>
                <c:pt idx="125">
                  <c:v>27-Jun-2023</c:v>
                </c:pt>
                <c:pt idx="126">
                  <c:v>28-Jun-2023</c:v>
                </c:pt>
                <c:pt idx="127">
                  <c:v>29-Jun-2023</c:v>
                </c:pt>
                <c:pt idx="128">
                  <c:v>30-Jun-2023</c:v>
                </c:pt>
                <c:pt idx="129">
                  <c:v>03-Jul-2023</c:v>
                </c:pt>
                <c:pt idx="130">
                  <c:v>04-Jul-2023</c:v>
                </c:pt>
                <c:pt idx="131">
                  <c:v>05-Jul-2023</c:v>
                </c:pt>
                <c:pt idx="132">
                  <c:v>06-Jul-2023</c:v>
                </c:pt>
                <c:pt idx="133">
                  <c:v>07-Jul-2023</c:v>
                </c:pt>
                <c:pt idx="134">
                  <c:v>10-Jul-2023</c:v>
                </c:pt>
                <c:pt idx="135">
                  <c:v>11-Jul-2023</c:v>
                </c:pt>
                <c:pt idx="136">
                  <c:v>12-Jul-2023</c:v>
                </c:pt>
                <c:pt idx="137">
                  <c:v>13-Jul-2023</c:v>
                </c:pt>
                <c:pt idx="138">
                  <c:v>14-Jul-2023</c:v>
                </c:pt>
                <c:pt idx="139">
                  <c:v>17-Jul-2023</c:v>
                </c:pt>
                <c:pt idx="140">
                  <c:v>18-Jul-2023</c:v>
                </c:pt>
                <c:pt idx="141">
                  <c:v>19-Jul-2023</c:v>
                </c:pt>
                <c:pt idx="142">
                  <c:v>20-Jul-2023</c:v>
                </c:pt>
                <c:pt idx="143">
                  <c:v>21-Jul-2023</c:v>
                </c:pt>
                <c:pt idx="144">
                  <c:v>24-Jul-2023</c:v>
                </c:pt>
                <c:pt idx="145">
                  <c:v>25-Jul-2023</c:v>
                </c:pt>
                <c:pt idx="146">
                  <c:v>26-Jul-2023</c:v>
                </c:pt>
                <c:pt idx="147">
                  <c:v>27-Jul-2023</c:v>
                </c:pt>
                <c:pt idx="148">
                  <c:v>28-Jul-2023</c:v>
                </c:pt>
                <c:pt idx="149">
                  <c:v>31-Jul-2023</c:v>
                </c:pt>
                <c:pt idx="150">
                  <c:v>01-Aug-2023</c:v>
                </c:pt>
                <c:pt idx="151">
                  <c:v>02-Aug-2023</c:v>
                </c:pt>
                <c:pt idx="152">
                  <c:v>03-Aug-2023</c:v>
                </c:pt>
                <c:pt idx="153">
                  <c:v>04-Aug-2023</c:v>
                </c:pt>
                <c:pt idx="154">
                  <c:v>07-Aug-2023</c:v>
                </c:pt>
                <c:pt idx="155">
                  <c:v>08-Aug-2023</c:v>
                </c:pt>
                <c:pt idx="156">
                  <c:v>09-Aug-2023</c:v>
                </c:pt>
                <c:pt idx="157">
                  <c:v>10-Aug-2023</c:v>
                </c:pt>
                <c:pt idx="158">
                  <c:v>11-Aug-2023</c:v>
                </c:pt>
                <c:pt idx="159">
                  <c:v>14-Aug-2023</c:v>
                </c:pt>
                <c:pt idx="160">
                  <c:v>15-Aug-2023</c:v>
                </c:pt>
                <c:pt idx="161">
                  <c:v>16-Aug-2023</c:v>
                </c:pt>
                <c:pt idx="162">
                  <c:v>17-Aug-2023</c:v>
                </c:pt>
                <c:pt idx="163">
                  <c:v>18-Aug-2023</c:v>
                </c:pt>
                <c:pt idx="164">
                  <c:v>21-Aug-2023</c:v>
                </c:pt>
                <c:pt idx="165">
                  <c:v>22-Aug-2023</c:v>
                </c:pt>
                <c:pt idx="166">
                  <c:v>23-Aug-2023</c:v>
                </c:pt>
                <c:pt idx="167">
                  <c:v>24-Aug-2023</c:v>
                </c:pt>
                <c:pt idx="168">
                  <c:v>25-Aug-2023</c:v>
                </c:pt>
                <c:pt idx="169">
                  <c:v>28-Aug-2023</c:v>
                </c:pt>
                <c:pt idx="170">
                  <c:v>29-Aug-2023</c:v>
                </c:pt>
                <c:pt idx="171">
                  <c:v>30-Aug-2023</c:v>
                </c:pt>
                <c:pt idx="172">
                  <c:v>31-Aug-2023</c:v>
                </c:pt>
                <c:pt idx="173">
                  <c:v>01-Sep-2023</c:v>
                </c:pt>
                <c:pt idx="174">
                  <c:v>04-Sep-2023</c:v>
                </c:pt>
                <c:pt idx="175">
                  <c:v>05-Sep-2023</c:v>
                </c:pt>
                <c:pt idx="176">
                  <c:v>06-Sep-2023</c:v>
                </c:pt>
                <c:pt idx="177">
                  <c:v>07-Sep-2023</c:v>
                </c:pt>
                <c:pt idx="178">
                  <c:v>08-Sep-2023</c:v>
                </c:pt>
                <c:pt idx="179">
                  <c:v>11-Sep-2023</c:v>
                </c:pt>
                <c:pt idx="180">
                  <c:v>12-Sep-2023</c:v>
                </c:pt>
                <c:pt idx="181">
                  <c:v>13-Sep-2023</c:v>
                </c:pt>
                <c:pt idx="182">
                  <c:v>14-Sep-2023</c:v>
                </c:pt>
                <c:pt idx="183">
                  <c:v>15-Sep-2023</c:v>
                </c:pt>
                <c:pt idx="184">
                  <c:v>18-Sep-2023</c:v>
                </c:pt>
                <c:pt idx="185">
                  <c:v>19-Sep-2023</c:v>
                </c:pt>
                <c:pt idx="186">
                  <c:v>20-Sep-2023</c:v>
                </c:pt>
                <c:pt idx="187">
                  <c:v>21-Sep-2023</c:v>
                </c:pt>
                <c:pt idx="188">
                  <c:v>22-Sep-2023</c:v>
                </c:pt>
                <c:pt idx="189">
                  <c:v>25-Sep-2023</c:v>
                </c:pt>
                <c:pt idx="190">
                  <c:v>26-Sep-2023</c:v>
                </c:pt>
                <c:pt idx="191">
                  <c:v>27-Sep-2023</c:v>
                </c:pt>
                <c:pt idx="192">
                  <c:v>28-Sep-2023</c:v>
                </c:pt>
                <c:pt idx="193">
                  <c:v>29-Sep-2023</c:v>
                </c:pt>
                <c:pt idx="194">
                  <c:v>02-Oct-2023</c:v>
                </c:pt>
                <c:pt idx="195">
                  <c:v>03-Oct-2023</c:v>
                </c:pt>
                <c:pt idx="196">
                  <c:v>04-Oct-2023</c:v>
                </c:pt>
                <c:pt idx="197">
                  <c:v>05-Oct-2023</c:v>
                </c:pt>
                <c:pt idx="198">
                  <c:v>06-Oct-2023</c:v>
                </c:pt>
                <c:pt idx="199">
                  <c:v>09-Oct-2023</c:v>
                </c:pt>
                <c:pt idx="200">
                  <c:v>10-Oct-2023</c:v>
                </c:pt>
                <c:pt idx="201">
                  <c:v>11-Oct-2023</c:v>
                </c:pt>
                <c:pt idx="202">
                  <c:v>12-Oct-2023</c:v>
                </c:pt>
                <c:pt idx="203">
                  <c:v>13-Oct-2023</c:v>
                </c:pt>
                <c:pt idx="204">
                  <c:v>16-Oct-2023</c:v>
                </c:pt>
                <c:pt idx="205">
                  <c:v>17-Oct-2023</c:v>
                </c:pt>
                <c:pt idx="206">
                  <c:v>18-Oct-2023</c:v>
                </c:pt>
                <c:pt idx="207">
                  <c:v>19-Oct-2023</c:v>
                </c:pt>
                <c:pt idx="208">
                  <c:v>20-Oct-2023</c:v>
                </c:pt>
                <c:pt idx="209">
                  <c:v>23-Oct-2023</c:v>
                </c:pt>
                <c:pt idx="210">
                  <c:v>24-Oct-2023</c:v>
                </c:pt>
                <c:pt idx="211">
                  <c:v>25-Oct-2023</c:v>
                </c:pt>
                <c:pt idx="212">
                  <c:v>26-Oct-2023</c:v>
                </c:pt>
                <c:pt idx="213">
                  <c:v>27-Oct-2023</c:v>
                </c:pt>
                <c:pt idx="214">
                  <c:v>30-Oct-2023</c:v>
                </c:pt>
                <c:pt idx="215">
                  <c:v>31-Oct-2023</c:v>
                </c:pt>
                <c:pt idx="216">
                  <c:v>01-Nov-2023</c:v>
                </c:pt>
                <c:pt idx="217">
                  <c:v>02-Nov-2023</c:v>
                </c:pt>
                <c:pt idx="218">
                  <c:v>03-Nov-2023</c:v>
                </c:pt>
                <c:pt idx="219">
                  <c:v>06-Nov-2023</c:v>
                </c:pt>
                <c:pt idx="220">
                  <c:v>07-Nov-2023</c:v>
                </c:pt>
                <c:pt idx="221">
                  <c:v>08-Nov-2023</c:v>
                </c:pt>
                <c:pt idx="222">
                  <c:v>09-Nov-2023</c:v>
                </c:pt>
                <c:pt idx="223">
                  <c:v>10-Nov-2023</c:v>
                </c:pt>
                <c:pt idx="224">
                  <c:v>13-Nov-2023</c:v>
                </c:pt>
                <c:pt idx="225">
                  <c:v>14-Nov-2023</c:v>
                </c:pt>
                <c:pt idx="226">
                  <c:v>15-Nov-2023</c:v>
                </c:pt>
                <c:pt idx="227">
                  <c:v>16-Nov-2023</c:v>
                </c:pt>
                <c:pt idx="228">
                  <c:v>17-Nov-2023</c:v>
                </c:pt>
                <c:pt idx="229">
                  <c:v>20-Nov-2023</c:v>
                </c:pt>
                <c:pt idx="230">
                  <c:v>21-Nov-2023</c:v>
                </c:pt>
                <c:pt idx="231">
                  <c:v>22-Nov-2023</c:v>
                </c:pt>
                <c:pt idx="232">
                  <c:v>23-Nov-2023</c:v>
                </c:pt>
                <c:pt idx="233">
                  <c:v>24-Nov-2023</c:v>
                </c:pt>
                <c:pt idx="234">
                  <c:v>27-Nov-2023</c:v>
                </c:pt>
                <c:pt idx="235">
                  <c:v>28-Nov-2023</c:v>
                </c:pt>
                <c:pt idx="236">
                  <c:v>29-Nov-2023</c:v>
                </c:pt>
                <c:pt idx="237">
                  <c:v>30-Nov-2023</c:v>
                </c:pt>
                <c:pt idx="238">
                  <c:v>01-Dec-2023</c:v>
                </c:pt>
                <c:pt idx="239">
                  <c:v>04-Dec-2023</c:v>
                </c:pt>
                <c:pt idx="240">
                  <c:v>05-Dec-2023</c:v>
                </c:pt>
                <c:pt idx="241">
                  <c:v>06-Dec-2023</c:v>
                </c:pt>
                <c:pt idx="242">
                  <c:v>07-Dec-2023</c:v>
                </c:pt>
                <c:pt idx="243">
                  <c:v>08-Dec-2023</c:v>
                </c:pt>
                <c:pt idx="244">
                  <c:v>11-Dec-2023</c:v>
                </c:pt>
                <c:pt idx="245">
                  <c:v>12-Dec-2023</c:v>
                </c:pt>
                <c:pt idx="246">
                  <c:v>13-Dec-2023</c:v>
                </c:pt>
                <c:pt idx="247">
                  <c:v>14-Dec-2023</c:v>
                </c:pt>
                <c:pt idx="248">
                  <c:v>15-Dec-2023</c:v>
                </c:pt>
                <c:pt idx="249">
                  <c:v>18-Dec-2023</c:v>
                </c:pt>
                <c:pt idx="250">
                  <c:v>19-Dec-2023</c:v>
                </c:pt>
              </c:strCache>
            </c:strRef>
          </c:cat>
          <c:val>
            <c:numRef>
              <c:f>'1.RETURNS'!$D$5:$D$255</c:f>
              <c:numCache>
                <c:formatCode>0.000%</c:formatCode>
                <c:ptCount val="251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  <c:pt idx="59">
                  <c:v>1.0092626843755111E-2</c:v>
                </c:pt>
                <c:pt idx="60">
                  <c:v>-5.0517287015175672E-3</c:v>
                </c:pt>
                <c:pt idx="61">
                  <c:v>-1.6564715140296429E-3</c:v>
                </c:pt>
                <c:pt idx="62">
                  <c:v>-1.0795267239449648E-2</c:v>
                </c:pt>
                <c:pt idx="63">
                  <c:v>-1.2444999511498685E-2</c:v>
                </c:pt>
                <c:pt idx="64">
                  <c:v>8.9746060145755296E-3</c:v>
                </c:pt>
                <c:pt idx="65">
                  <c:v>1.4946502341013758E-2</c:v>
                </c:pt>
                <c:pt idx="66">
                  <c:v>-5.8389634955059472E-4</c:v>
                </c:pt>
                <c:pt idx="67">
                  <c:v>1.0343198855054246E-2</c:v>
                </c:pt>
                <c:pt idx="68">
                  <c:v>4.1242304592966844E-3</c:v>
                </c:pt>
                <c:pt idx="69">
                  <c:v>-6.1194363860255256E-3</c:v>
                </c:pt>
                <c:pt idx="70">
                  <c:v>4.0606441288001905E-3</c:v>
                </c:pt>
                <c:pt idx="71">
                  <c:v>1.5445853980873777E-2</c:v>
                </c:pt>
                <c:pt idx="72">
                  <c:v>-1.7442874629951025E-4</c:v>
                </c:pt>
                <c:pt idx="73">
                  <c:v>1.5712590896733079E-2</c:v>
                </c:pt>
                <c:pt idx="74">
                  <c:v>-2.9469996815207466E-2</c:v>
                </c:pt>
                <c:pt idx="75">
                  <c:v>1.1151498195056108E-2</c:v>
                </c:pt>
                <c:pt idx="76">
                  <c:v>1.2211845116262402E-3</c:v>
                </c:pt>
                <c:pt idx="77">
                  <c:v>-2.5101233496032725E-3</c:v>
                </c:pt>
                <c:pt idx="78">
                  <c:v>1.2014854452613818E-3</c:v>
                </c:pt>
                <c:pt idx="79">
                  <c:v>-1.8955832778474114E-2</c:v>
                </c:pt>
                <c:pt idx="80">
                  <c:v>-2.4118481615718499E-3</c:v>
                </c:pt>
                <c:pt idx="81">
                  <c:v>3.7166431063246361E-3</c:v>
                </c:pt>
                <c:pt idx="82">
                  <c:v>1.5530909074699869E-2</c:v>
                </c:pt>
                <c:pt idx="83">
                  <c:v>-5.5963470604531978E-3</c:v>
                </c:pt>
                <c:pt idx="84">
                  <c:v>-7.6156549220539856E-3</c:v>
                </c:pt>
                <c:pt idx="85">
                  <c:v>-5.1642019311587337E-3</c:v>
                </c:pt>
                <c:pt idx="86">
                  <c:v>9.2171641973083675E-3</c:v>
                </c:pt>
                <c:pt idx="87">
                  <c:v>3.7032218796640938E-3</c:v>
                </c:pt>
                <c:pt idx="88">
                  <c:v>-5.2343263201731025E-3</c:v>
                </c:pt>
                <c:pt idx="89">
                  <c:v>5.6819826799638026E-3</c:v>
                </c:pt>
                <c:pt idx="90">
                  <c:v>1.2609322099685217E-3</c:v>
                </c:pt>
                <c:pt idx="91">
                  <c:v>9.7575368809928315E-3</c:v>
                </c:pt>
                <c:pt idx="92">
                  <c:v>-7.2143446011480343E-3</c:v>
                </c:pt>
                <c:pt idx="93">
                  <c:v>-3.0782994864755513E-3</c:v>
                </c:pt>
                <c:pt idx="94">
                  <c:v>-3.5484565478974043E-3</c:v>
                </c:pt>
                <c:pt idx="95">
                  <c:v>-1.4524548662615353E-2</c:v>
                </c:pt>
                <c:pt idx="96">
                  <c:v>3.6557896181593878E-3</c:v>
                </c:pt>
                <c:pt idx="97">
                  <c:v>2.9352530738064706E-3</c:v>
                </c:pt>
                <c:pt idx="98">
                  <c:v>3.1758940288275392E-4</c:v>
                </c:pt>
                <c:pt idx="99">
                  <c:v>-1.8805393851591336E-3</c:v>
                </c:pt>
                <c:pt idx="100">
                  <c:v>-1.3522654709236045E-2</c:v>
                </c:pt>
                <c:pt idx="101">
                  <c:v>-4.2597739168118275E-3</c:v>
                </c:pt>
                <c:pt idx="102">
                  <c:v>-3.1870911806153677E-3</c:v>
                </c:pt>
                <c:pt idx="103">
                  <c:v>-7.6366518517654268E-3</c:v>
                </c:pt>
                <c:pt idx="104">
                  <c:v>-1.4816968508920779E-3</c:v>
                </c:pt>
                <c:pt idx="105">
                  <c:v>4.1368001936994891E-3</c:v>
                </c:pt>
                <c:pt idx="106">
                  <c:v>1.8517186974588037E-2</c:v>
                </c:pt>
                <c:pt idx="107">
                  <c:v>2.2459056846994264E-3</c:v>
                </c:pt>
                <c:pt idx="108">
                  <c:v>2.8498318582551702E-3</c:v>
                </c:pt>
                <c:pt idx="109">
                  <c:v>-4.7360269968887991E-4</c:v>
                </c:pt>
                <c:pt idx="110">
                  <c:v>-1.7414767249476184E-2</c:v>
                </c:pt>
                <c:pt idx="111">
                  <c:v>-4.426966127051383E-5</c:v>
                </c:pt>
                <c:pt idx="112">
                  <c:v>8.5553299020116216E-4</c:v>
                </c:pt>
                <c:pt idx="113">
                  <c:v>2.3033526640812738E-2</c:v>
                </c:pt>
                <c:pt idx="114">
                  <c:v>-2.1828715821635221E-3</c:v>
                </c:pt>
                <c:pt idx="115">
                  <c:v>3.2749219250035968E-3</c:v>
                </c:pt>
                <c:pt idx="116">
                  <c:v>-5.9971813265716448E-5</c:v>
                </c:pt>
                <c:pt idx="117">
                  <c:v>1.2508700586033395E-2</c:v>
                </c:pt>
                <c:pt idx="118">
                  <c:v>-3.6606252165093972E-2</c:v>
                </c:pt>
                <c:pt idx="119">
                  <c:v>1.0214898094171075E-2</c:v>
                </c:pt>
                <c:pt idx="120">
                  <c:v>-2.3835530640385981E-2</c:v>
                </c:pt>
                <c:pt idx="121">
                  <c:v>1.1507447235039049E-2</c:v>
                </c:pt>
                <c:pt idx="122">
                  <c:v>-4.4243130391294481E-2</c:v>
                </c:pt>
                <c:pt idx="123">
                  <c:v>1.9656652549551592E-2</c:v>
                </c:pt>
                <c:pt idx="124">
                  <c:v>-1.9955287583719825E-2</c:v>
                </c:pt>
                <c:pt idx="125">
                  <c:v>2.730571944294622E-2</c:v>
                </c:pt>
                <c:pt idx="126">
                  <c:v>-3.2251292197015106E-2</c:v>
                </c:pt>
                <c:pt idx="127">
                  <c:v>-6.0629526588263389E-3</c:v>
                </c:pt>
                <c:pt idx="128">
                  <c:v>1.2904167546731403E-3</c:v>
                </c:pt>
                <c:pt idx="129">
                  <c:v>-4.5681634958848793E-3</c:v>
                </c:pt>
                <c:pt idx="130">
                  <c:v>-1.5928011929515543E-2</c:v>
                </c:pt>
                <c:pt idx="131">
                  <c:v>1.015892302001534E-3</c:v>
                </c:pt>
                <c:pt idx="132">
                  <c:v>-9.9700023085799415E-3</c:v>
                </c:pt>
                <c:pt idx="133">
                  <c:v>5.1332977773813331E-3</c:v>
                </c:pt>
                <c:pt idx="134">
                  <c:v>-9.0315511850697257E-3</c:v>
                </c:pt>
                <c:pt idx="135">
                  <c:v>1.6084779384150327E-2</c:v>
                </c:pt>
                <c:pt idx="136">
                  <c:v>-8.4447868357665351E-3</c:v>
                </c:pt>
                <c:pt idx="137">
                  <c:v>-3.0163517560566969E-3</c:v>
                </c:pt>
                <c:pt idx="138">
                  <c:v>8.4197785514903232E-3</c:v>
                </c:pt>
                <c:pt idx="139">
                  <c:v>-1.2981594129055977E-2</c:v>
                </c:pt>
                <c:pt idx="140">
                  <c:v>2.7942688732837777E-3</c:v>
                </c:pt>
                <c:pt idx="141">
                  <c:v>1.3702071856800254E-2</c:v>
                </c:pt>
                <c:pt idx="142">
                  <c:v>-1.7515600523816316E-2</c:v>
                </c:pt>
                <c:pt idx="143">
                  <c:v>2.3623423158293739E-3</c:v>
                </c:pt>
                <c:pt idx="144">
                  <c:v>2.9029463961687293E-3</c:v>
                </c:pt>
                <c:pt idx="145">
                  <c:v>7.7931994314828406E-3</c:v>
                </c:pt>
                <c:pt idx="146">
                  <c:v>-1.3201105988443892E-2</c:v>
                </c:pt>
                <c:pt idx="147">
                  <c:v>-1.3822363950257089E-2</c:v>
                </c:pt>
                <c:pt idx="148">
                  <c:v>6.3102846376867569E-3</c:v>
                </c:pt>
                <c:pt idx="149">
                  <c:v>3.1997341907610043E-3</c:v>
                </c:pt>
                <c:pt idx="150">
                  <c:v>2.8365367951750844E-3</c:v>
                </c:pt>
                <c:pt idx="151">
                  <c:v>3.6961856275960067E-3</c:v>
                </c:pt>
                <c:pt idx="152">
                  <c:v>-6.8192522778982778E-3</c:v>
                </c:pt>
                <c:pt idx="153">
                  <c:v>2.5812109836164374E-3</c:v>
                </c:pt>
                <c:pt idx="154">
                  <c:v>3.1661016930860314E-3</c:v>
                </c:pt>
                <c:pt idx="155">
                  <c:v>-7.1162197669271295E-3</c:v>
                </c:pt>
                <c:pt idx="156">
                  <c:v>1.9665399871236153E-2</c:v>
                </c:pt>
                <c:pt idx="157">
                  <c:v>5.9337145637730513E-3</c:v>
                </c:pt>
                <c:pt idx="158">
                  <c:v>-1.2143211157002474E-2</c:v>
                </c:pt>
                <c:pt idx="159">
                  <c:v>7.4404194366253593E-3</c:v>
                </c:pt>
                <c:pt idx="160">
                  <c:v>-1.0005212590329307E-2</c:v>
                </c:pt>
                <c:pt idx="161">
                  <c:v>8.7610172370882478E-3</c:v>
                </c:pt>
                <c:pt idx="162">
                  <c:v>1.2933761188865233E-2</c:v>
                </c:pt>
                <c:pt idx="163">
                  <c:v>-8.4920110384975305E-3</c:v>
                </c:pt>
                <c:pt idx="164">
                  <c:v>1.023044981412048E-2</c:v>
                </c:pt>
                <c:pt idx="165">
                  <c:v>4.8615039558976515E-3</c:v>
                </c:pt>
                <c:pt idx="166">
                  <c:v>8.8634452394520304E-3</c:v>
                </c:pt>
                <c:pt idx="167">
                  <c:v>2.0269635440790891E-2</c:v>
                </c:pt>
                <c:pt idx="168">
                  <c:v>-2.7166877695450325E-3</c:v>
                </c:pt>
                <c:pt idx="169">
                  <c:v>-7.0016110826944802E-3</c:v>
                </c:pt>
                <c:pt idx="170">
                  <c:v>-8.7004675955682457E-3</c:v>
                </c:pt>
                <c:pt idx="171">
                  <c:v>-8.3326488017001123E-3</c:v>
                </c:pt>
                <c:pt idx="172">
                  <c:v>-5.3771891585404285E-4</c:v>
                </c:pt>
                <c:pt idx="173">
                  <c:v>3.5689868357062136E-3</c:v>
                </c:pt>
                <c:pt idx="174">
                  <c:v>2.9188495799730967E-3</c:v>
                </c:pt>
                <c:pt idx="175">
                  <c:v>8.7876670220886927E-3</c:v>
                </c:pt>
                <c:pt idx="176">
                  <c:v>3.9912193704844801E-4</c:v>
                </c:pt>
                <c:pt idx="177">
                  <c:v>1.4444864903524457E-2</c:v>
                </c:pt>
                <c:pt idx="178">
                  <c:v>-2.7342805469443105E-3</c:v>
                </c:pt>
                <c:pt idx="179">
                  <c:v>2.6601048383635115E-2</c:v>
                </c:pt>
                <c:pt idx="180">
                  <c:v>8.3670803066559097E-3</c:v>
                </c:pt>
                <c:pt idx="181">
                  <c:v>-8.9088268120969538E-3</c:v>
                </c:pt>
                <c:pt idx="182">
                  <c:v>-1.0752605375643568E-2</c:v>
                </c:pt>
                <c:pt idx="183">
                  <c:v>5.6532182272813853E-3</c:v>
                </c:pt>
                <c:pt idx="184">
                  <c:v>-2.081790297793948E-3</c:v>
                </c:pt>
                <c:pt idx="185">
                  <c:v>7.5358083382229902E-3</c:v>
                </c:pt>
                <c:pt idx="186">
                  <c:v>5.2921805565481293E-3</c:v>
                </c:pt>
                <c:pt idx="187">
                  <c:v>-4.826249008080478E-4</c:v>
                </c:pt>
                <c:pt idx="188">
                  <c:v>-7.7785413297187063E-3</c:v>
                </c:pt>
                <c:pt idx="189">
                  <c:v>-1.6177610551065667E-2</c:v>
                </c:pt>
                <c:pt idx="190">
                  <c:v>-5.0197813926275339E-3</c:v>
                </c:pt>
                <c:pt idx="191">
                  <c:v>8.5899744800403029E-3</c:v>
                </c:pt>
                <c:pt idx="192">
                  <c:v>2.4329453622777822E-3</c:v>
                </c:pt>
                <c:pt idx="193">
                  <c:v>-1.1820349939107919E-2</c:v>
                </c:pt>
                <c:pt idx="194">
                  <c:v>2.1989614233091119E-3</c:v>
                </c:pt>
                <c:pt idx="195">
                  <c:v>4.2078971355218606E-3</c:v>
                </c:pt>
                <c:pt idx="196">
                  <c:v>-8.3146894543242224E-3</c:v>
                </c:pt>
                <c:pt idx="197">
                  <c:v>1.8926836644069234E-3</c:v>
                </c:pt>
                <c:pt idx="198">
                  <c:v>8.3275718081626284E-4</c:v>
                </c:pt>
                <c:pt idx="199">
                  <c:v>-1.1222078721036192E-2</c:v>
                </c:pt>
                <c:pt idx="200">
                  <c:v>4.2560729739904799E-3</c:v>
                </c:pt>
                <c:pt idx="201">
                  <c:v>6.0625584539794972E-3</c:v>
                </c:pt>
                <c:pt idx="202">
                  <c:v>1.1337198644370486E-2</c:v>
                </c:pt>
                <c:pt idx="203">
                  <c:v>1.1649393177382806E-2</c:v>
                </c:pt>
                <c:pt idx="204">
                  <c:v>-1.4504209553333199E-2</c:v>
                </c:pt>
                <c:pt idx="205">
                  <c:v>-9.9301034976918799E-3</c:v>
                </c:pt>
                <c:pt idx="206">
                  <c:v>5.9467640194596303E-3</c:v>
                </c:pt>
                <c:pt idx="207">
                  <c:v>5.6692165333906775E-3</c:v>
                </c:pt>
                <c:pt idx="208">
                  <c:v>5.7490828885752975E-3</c:v>
                </c:pt>
                <c:pt idx="209">
                  <c:v>4.1351031865498641E-2</c:v>
                </c:pt>
                <c:pt idx="210">
                  <c:v>8.5110735661844388E-3</c:v>
                </c:pt>
                <c:pt idx="211">
                  <c:v>1.2512085499561955E-2</c:v>
                </c:pt>
                <c:pt idx="212">
                  <c:v>1.1155349877315108E-2</c:v>
                </c:pt>
                <c:pt idx="213">
                  <c:v>7.5371722364892275E-3</c:v>
                </c:pt>
                <c:pt idx="214">
                  <c:v>-2.9510595656663517E-3</c:v>
                </c:pt>
                <c:pt idx="215">
                  <c:v>7.7331655324222957E-3</c:v>
                </c:pt>
                <c:pt idx="216">
                  <c:v>-7.5516283254135393E-3</c:v>
                </c:pt>
                <c:pt idx="217">
                  <c:v>-2.3095867274594848E-3</c:v>
                </c:pt>
                <c:pt idx="218">
                  <c:v>-4.5357518632557362E-3</c:v>
                </c:pt>
                <c:pt idx="219">
                  <c:v>1.0728944898763643E-3</c:v>
                </c:pt>
                <c:pt idx="220">
                  <c:v>2.2973813584132235E-2</c:v>
                </c:pt>
                <c:pt idx="221">
                  <c:v>-2.2892930712884726E-2</c:v>
                </c:pt>
                <c:pt idx="222">
                  <c:v>8.5779369339966955E-3</c:v>
                </c:pt>
                <c:pt idx="223">
                  <c:v>-1.6188710353566772E-2</c:v>
                </c:pt>
                <c:pt idx="224">
                  <c:v>-5.2365124520414343E-3</c:v>
                </c:pt>
                <c:pt idx="225">
                  <c:v>1.1341792619253785E-2</c:v>
                </c:pt>
                <c:pt idx="226">
                  <c:v>9.7154536546631095E-4</c:v>
                </c:pt>
                <c:pt idx="227">
                  <c:v>-1.0138829373300696E-2</c:v>
                </c:pt>
                <c:pt idx="228">
                  <c:v>-7.6550932948300258E-3</c:v>
                </c:pt>
                <c:pt idx="229">
                  <c:v>7.3911310328928399E-3</c:v>
                </c:pt>
                <c:pt idx="230">
                  <c:v>-7.3817167207849569E-3</c:v>
                </c:pt>
                <c:pt idx="231">
                  <c:v>2.5879256400356174E-3</c:v>
                </c:pt>
                <c:pt idx="232">
                  <c:v>7.1338060940636988E-4</c:v>
                </c:pt>
                <c:pt idx="233">
                  <c:v>-5.770891327860378E-3</c:v>
                </c:pt>
                <c:pt idx="234">
                  <c:v>2.1259342768911883E-2</c:v>
                </c:pt>
                <c:pt idx="235">
                  <c:v>8.0424823987987754E-3</c:v>
                </c:pt>
                <c:pt idx="236">
                  <c:v>-2.1204253416262798E-2</c:v>
                </c:pt>
                <c:pt idx="237">
                  <c:v>2.5267324531283086E-3</c:v>
                </c:pt>
                <c:pt idx="238">
                  <c:v>-6.0598866695904495E-3</c:v>
                </c:pt>
                <c:pt idx="239">
                  <c:v>8.7269403652824196E-3</c:v>
                </c:pt>
                <c:pt idx="240">
                  <c:v>-7.7621141880172334E-3</c:v>
                </c:pt>
                <c:pt idx="241">
                  <c:v>-9.2020297906603632E-4</c:v>
                </c:pt>
                <c:pt idx="242">
                  <c:v>5.1768437149770901E-3</c:v>
                </c:pt>
                <c:pt idx="243">
                  <c:v>8.9665421781810195E-3</c:v>
                </c:pt>
                <c:pt idx="244">
                  <c:v>-1.2392910283685573E-2</c:v>
                </c:pt>
                <c:pt idx="245">
                  <c:v>-3.5534278142564791E-3</c:v>
                </c:pt>
                <c:pt idx="246">
                  <c:v>-4.3904913500291002E-3</c:v>
                </c:pt>
                <c:pt idx="247">
                  <c:v>-6.3081371950149566E-3</c:v>
                </c:pt>
                <c:pt idx="248">
                  <c:v>1.8866950773888582E-2</c:v>
                </c:pt>
                <c:pt idx="249">
                  <c:v>4.9861947356177119E-3</c:v>
                </c:pt>
                <c:pt idx="250">
                  <c:v>-1.2639391917641945E-2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1-AE43-BFED-5622B4AF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33440"/>
        <c:axId val="1254061183"/>
      </c:lineChart>
      <c:catAx>
        <c:axId val="1013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061183"/>
        <c:crosses val="autoZero"/>
        <c:auto val="1"/>
        <c:lblAlgn val="ctr"/>
        <c:lblOffset val="100"/>
        <c:noMultiLvlLbl val="0"/>
      </c:catAx>
      <c:valAx>
        <c:axId val="12540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 1 — Returns: Random Noise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'2.STYLIZED FACTS'!$C$4:$C$255</c:f>
              <c:numCache>
                <c:formatCode>0.0000</c:formatCode>
                <c:ptCount val="252"/>
                <c:pt idx="1">
                  <c:v>5.8848723437282197E-3</c:v>
                </c:pt>
                <c:pt idx="2">
                  <c:v>-1.2113657639155101E-3</c:v>
                </c:pt>
                <c:pt idx="3">
                  <c:v>6.6707917430471964E-3</c:v>
                </c:pt>
                <c:pt idx="4">
                  <c:v>1.6065486617628962E-2</c:v>
                </c:pt>
                <c:pt idx="5">
                  <c:v>-2.4548761294726756E-3</c:v>
                </c:pt>
                <c:pt idx="6">
                  <c:v>-2.0112502237132545E-3</c:v>
                </c:pt>
                <c:pt idx="7">
                  <c:v>1.5334302622674396E-2</c:v>
                </c:pt>
                <c:pt idx="8">
                  <c:v>8.8748844487809755E-3</c:v>
                </c:pt>
                <c:pt idx="9">
                  <c:v>-4.8215906453202137E-3</c:v>
                </c:pt>
                <c:pt idx="10">
                  <c:v>5.5124296395039872E-3</c:v>
                </c:pt>
                <c:pt idx="11">
                  <c:v>-4.2904899245061814E-3</c:v>
                </c:pt>
                <c:pt idx="12">
                  <c:v>-4.2128306139583025E-3</c:v>
                </c:pt>
                <c:pt idx="13">
                  <c:v>2.5967417712656309E-3</c:v>
                </c:pt>
                <c:pt idx="14">
                  <c:v>-1.9171552133154184E-2</c:v>
                </c:pt>
                <c:pt idx="15">
                  <c:v>-2.0470411829203214E-2</c:v>
                </c:pt>
                <c:pt idx="16">
                  <c:v>-6.4772079169447584E-3</c:v>
                </c:pt>
                <c:pt idx="17">
                  <c:v>-9.7974154406534671E-3</c:v>
                </c:pt>
                <c:pt idx="18">
                  <c:v>3.6193332840726675E-3</c:v>
                </c:pt>
                <c:pt idx="19">
                  <c:v>-8.7524506038356795E-3</c:v>
                </c:pt>
                <c:pt idx="20">
                  <c:v>-1.4251166520256224E-2</c:v>
                </c:pt>
                <c:pt idx="21">
                  <c:v>1.6633480164295882E-2</c:v>
                </c:pt>
                <c:pt idx="22">
                  <c:v>-2.3279526462302333E-3</c:v>
                </c:pt>
                <c:pt idx="23">
                  <c:v>9.3726235716231547E-4</c:v>
                </c:pt>
                <c:pt idx="24">
                  <c:v>-1.3635751621641814E-2</c:v>
                </c:pt>
                <c:pt idx="25">
                  <c:v>-5.5921391318446883E-3</c:v>
                </c:pt>
                <c:pt idx="26">
                  <c:v>1.3854201179323263E-3</c:v>
                </c:pt>
                <c:pt idx="27">
                  <c:v>-1.1016357826425731E-2</c:v>
                </c:pt>
                <c:pt idx="28">
                  <c:v>4.3343886599564773E-3</c:v>
                </c:pt>
                <c:pt idx="29">
                  <c:v>-5.9637653469286865E-3</c:v>
                </c:pt>
                <c:pt idx="30">
                  <c:v>-2.7659885362656092E-3</c:v>
                </c:pt>
                <c:pt idx="31">
                  <c:v>-5.4750569563483563E-3</c:v>
                </c:pt>
                <c:pt idx="32">
                  <c:v>1.8407343631838935E-2</c:v>
                </c:pt>
                <c:pt idx="33">
                  <c:v>8.7750087806441539E-5</c:v>
                </c:pt>
                <c:pt idx="34">
                  <c:v>-9.3562805766086825E-3</c:v>
                </c:pt>
                <c:pt idx="35">
                  <c:v>9.0814585452372431E-3</c:v>
                </c:pt>
                <c:pt idx="36">
                  <c:v>-1.3189794377500771E-2</c:v>
                </c:pt>
                <c:pt idx="37">
                  <c:v>2.5898212119692798E-3</c:v>
                </c:pt>
                <c:pt idx="38">
                  <c:v>-1.8806258881128822E-2</c:v>
                </c:pt>
                <c:pt idx="39">
                  <c:v>-1.5574917471076215E-2</c:v>
                </c:pt>
                <c:pt idx="40">
                  <c:v>2.4878125762513E-3</c:v>
                </c:pt>
                <c:pt idx="41">
                  <c:v>7.5532940637161585E-3</c:v>
                </c:pt>
                <c:pt idx="42">
                  <c:v>2.1145723363076522E-3</c:v>
                </c:pt>
                <c:pt idx="43">
                  <c:v>-8.4768128441018993E-4</c:v>
                </c:pt>
                <c:pt idx="44">
                  <c:v>-2.7581407103905642E-3</c:v>
                </c:pt>
                <c:pt idx="45">
                  <c:v>-1.4851304136611461E-2</c:v>
                </c:pt>
                <c:pt idx="46">
                  <c:v>-7.683127431506823E-3</c:v>
                </c:pt>
                <c:pt idx="47">
                  <c:v>-4.3656826068705946E-3</c:v>
                </c:pt>
                <c:pt idx="48">
                  <c:v>1.0511055683539985E-2</c:v>
                </c:pt>
                <c:pt idx="49">
                  <c:v>3.8205554190330077E-3</c:v>
                </c:pt>
                <c:pt idx="50">
                  <c:v>-1.6681933197953237E-2</c:v>
                </c:pt>
                <c:pt idx="51">
                  <c:v>4.0394348524568028E-3</c:v>
                </c:pt>
                <c:pt idx="52">
                  <c:v>-3.4328481905995306E-3</c:v>
                </c:pt>
                <c:pt idx="53">
                  <c:v>-6.3454123510951772E-3</c:v>
                </c:pt>
                <c:pt idx="54">
                  <c:v>6.7446710168615137E-3</c:v>
                </c:pt>
                <c:pt idx="55">
                  <c:v>1.0476356326837036E-2</c:v>
                </c:pt>
                <c:pt idx="56">
                  <c:v>1.0563192393945127E-2</c:v>
                </c:pt>
                <c:pt idx="57">
                  <c:v>-8.6289840852801277E-3</c:v>
                </c:pt>
                <c:pt idx="58">
                  <c:v>-2.8929542546789915E-3</c:v>
                </c:pt>
                <c:pt idx="59">
                  <c:v>3.5960394652092033E-3</c:v>
                </c:pt>
                <c:pt idx="60">
                  <c:v>1.0092626843755111E-2</c:v>
                </c:pt>
                <c:pt idx="61">
                  <c:v>-5.0517287015175672E-3</c:v>
                </c:pt>
                <c:pt idx="62">
                  <c:v>-1.6564715140296429E-3</c:v>
                </c:pt>
                <c:pt idx="63">
                  <c:v>-1.0795267239449648E-2</c:v>
                </c:pt>
                <c:pt idx="64">
                  <c:v>-1.2444999511498685E-2</c:v>
                </c:pt>
                <c:pt idx="65">
                  <c:v>8.9746060145755296E-3</c:v>
                </c:pt>
                <c:pt idx="66">
                  <c:v>1.4946502341013758E-2</c:v>
                </c:pt>
                <c:pt idx="67">
                  <c:v>-5.8389634955059472E-4</c:v>
                </c:pt>
                <c:pt idx="68">
                  <c:v>1.0343198855054246E-2</c:v>
                </c:pt>
                <c:pt idx="69">
                  <c:v>4.1242304592966844E-3</c:v>
                </c:pt>
                <c:pt idx="70">
                  <c:v>-6.1194363860255256E-3</c:v>
                </c:pt>
                <c:pt idx="71">
                  <c:v>4.0606441288001905E-3</c:v>
                </c:pt>
                <c:pt idx="72">
                  <c:v>1.5445853980873777E-2</c:v>
                </c:pt>
                <c:pt idx="73">
                  <c:v>-1.7442874629951025E-4</c:v>
                </c:pt>
                <c:pt idx="74">
                  <c:v>1.5712590896733079E-2</c:v>
                </c:pt>
                <c:pt idx="75">
                  <c:v>-2.9469996815207466E-2</c:v>
                </c:pt>
                <c:pt idx="76">
                  <c:v>1.1151498195056108E-2</c:v>
                </c:pt>
                <c:pt idx="77">
                  <c:v>1.2211845116262402E-3</c:v>
                </c:pt>
                <c:pt idx="78">
                  <c:v>-2.5101233496032725E-3</c:v>
                </c:pt>
                <c:pt idx="79">
                  <c:v>1.2014854452613818E-3</c:v>
                </c:pt>
                <c:pt idx="80">
                  <c:v>-1.8955832778474114E-2</c:v>
                </c:pt>
                <c:pt idx="81">
                  <c:v>-2.4118481615718499E-3</c:v>
                </c:pt>
                <c:pt idx="82">
                  <c:v>3.7166431063246361E-3</c:v>
                </c:pt>
                <c:pt idx="83">
                  <c:v>1.5530909074699869E-2</c:v>
                </c:pt>
                <c:pt idx="84">
                  <c:v>-5.5963470604531978E-3</c:v>
                </c:pt>
                <c:pt idx="85">
                  <c:v>-7.6156549220539856E-3</c:v>
                </c:pt>
                <c:pt idx="86">
                  <c:v>-5.1642019311587337E-3</c:v>
                </c:pt>
                <c:pt idx="87">
                  <c:v>9.2171641973083675E-3</c:v>
                </c:pt>
                <c:pt idx="88">
                  <c:v>3.7032218796640938E-3</c:v>
                </c:pt>
                <c:pt idx="89">
                  <c:v>-5.2343263201731025E-3</c:v>
                </c:pt>
                <c:pt idx="90">
                  <c:v>5.6819826799638026E-3</c:v>
                </c:pt>
                <c:pt idx="91">
                  <c:v>1.2609322099685217E-3</c:v>
                </c:pt>
                <c:pt idx="92">
                  <c:v>9.7575368809928315E-3</c:v>
                </c:pt>
                <c:pt idx="93">
                  <c:v>-7.2143446011480343E-3</c:v>
                </c:pt>
                <c:pt idx="94">
                  <c:v>-3.0782994864755513E-3</c:v>
                </c:pt>
                <c:pt idx="95">
                  <c:v>-3.5484565478974043E-3</c:v>
                </c:pt>
                <c:pt idx="96">
                  <c:v>-1.4524548662615353E-2</c:v>
                </c:pt>
                <c:pt idx="97">
                  <c:v>3.6557896181593878E-3</c:v>
                </c:pt>
                <c:pt idx="98">
                  <c:v>2.9352530738064706E-3</c:v>
                </c:pt>
                <c:pt idx="99">
                  <c:v>3.1758940288275392E-4</c:v>
                </c:pt>
                <c:pt idx="100">
                  <c:v>-1.8805393851591336E-3</c:v>
                </c:pt>
                <c:pt idx="101">
                  <c:v>-1.3522654709236045E-2</c:v>
                </c:pt>
                <c:pt idx="102">
                  <c:v>-4.2597739168118275E-3</c:v>
                </c:pt>
                <c:pt idx="103">
                  <c:v>-3.1870911806153677E-3</c:v>
                </c:pt>
                <c:pt idx="104">
                  <c:v>-7.6366518517654268E-3</c:v>
                </c:pt>
                <c:pt idx="105">
                  <c:v>-1.4816968508920779E-3</c:v>
                </c:pt>
                <c:pt idx="106">
                  <c:v>4.1368001936994891E-3</c:v>
                </c:pt>
                <c:pt idx="107">
                  <c:v>1.8517186974588037E-2</c:v>
                </c:pt>
                <c:pt idx="108">
                  <c:v>2.2459056846994264E-3</c:v>
                </c:pt>
                <c:pt idx="109">
                  <c:v>2.8498318582551702E-3</c:v>
                </c:pt>
                <c:pt idx="110">
                  <c:v>-4.7360269968887991E-4</c:v>
                </c:pt>
                <c:pt idx="111">
                  <c:v>-1.7414767249476184E-2</c:v>
                </c:pt>
                <c:pt idx="112">
                  <c:v>-4.426966127051383E-5</c:v>
                </c:pt>
                <c:pt idx="113">
                  <c:v>8.5553299020116216E-4</c:v>
                </c:pt>
                <c:pt idx="114">
                  <c:v>2.3033526640812738E-2</c:v>
                </c:pt>
                <c:pt idx="115">
                  <c:v>-2.1828715821635221E-3</c:v>
                </c:pt>
                <c:pt idx="116">
                  <c:v>3.2749219250035968E-3</c:v>
                </c:pt>
                <c:pt idx="117">
                  <c:v>-5.9971813265716448E-5</c:v>
                </c:pt>
                <c:pt idx="118">
                  <c:v>1.2508700586033395E-2</c:v>
                </c:pt>
                <c:pt idx="119">
                  <c:v>-3.6606252165093972E-2</c:v>
                </c:pt>
                <c:pt idx="120">
                  <c:v>1.0214898094171075E-2</c:v>
                </c:pt>
                <c:pt idx="121">
                  <c:v>-2.3835530640385981E-2</c:v>
                </c:pt>
                <c:pt idx="122">
                  <c:v>1.1507447235039049E-2</c:v>
                </c:pt>
                <c:pt idx="123">
                  <c:v>-4.4243130391294481E-2</c:v>
                </c:pt>
                <c:pt idx="124">
                  <c:v>1.9656652549551592E-2</c:v>
                </c:pt>
                <c:pt idx="125">
                  <c:v>-1.9955287583719825E-2</c:v>
                </c:pt>
                <c:pt idx="126">
                  <c:v>2.730571944294622E-2</c:v>
                </c:pt>
                <c:pt idx="127">
                  <c:v>-3.2251292197015106E-2</c:v>
                </c:pt>
                <c:pt idx="128">
                  <c:v>-6.0629526588263389E-3</c:v>
                </c:pt>
                <c:pt idx="129">
                  <c:v>1.2904167546731403E-3</c:v>
                </c:pt>
                <c:pt idx="130">
                  <c:v>-4.5681634958848793E-3</c:v>
                </c:pt>
                <c:pt idx="131">
                  <c:v>-1.5928011929515543E-2</c:v>
                </c:pt>
                <c:pt idx="132">
                  <c:v>1.015892302001534E-3</c:v>
                </c:pt>
                <c:pt idx="133">
                  <c:v>-9.9700023085799415E-3</c:v>
                </c:pt>
                <c:pt idx="134">
                  <c:v>5.1332977773813331E-3</c:v>
                </c:pt>
                <c:pt idx="135">
                  <c:v>-9.0315511850697257E-3</c:v>
                </c:pt>
                <c:pt idx="136">
                  <c:v>1.6084779384150327E-2</c:v>
                </c:pt>
                <c:pt idx="137">
                  <c:v>-8.4447868357665351E-3</c:v>
                </c:pt>
                <c:pt idx="138">
                  <c:v>-3.0163517560566969E-3</c:v>
                </c:pt>
                <c:pt idx="139">
                  <c:v>8.4197785514903232E-3</c:v>
                </c:pt>
                <c:pt idx="140">
                  <c:v>-1.2981594129055977E-2</c:v>
                </c:pt>
                <c:pt idx="141">
                  <c:v>2.7942688732837777E-3</c:v>
                </c:pt>
                <c:pt idx="142">
                  <c:v>1.3702071856800254E-2</c:v>
                </c:pt>
                <c:pt idx="143">
                  <c:v>-1.7515600523816316E-2</c:v>
                </c:pt>
                <c:pt idx="144">
                  <c:v>2.3623423158293739E-3</c:v>
                </c:pt>
                <c:pt idx="145">
                  <c:v>2.9029463961687293E-3</c:v>
                </c:pt>
                <c:pt idx="146">
                  <c:v>7.7931994314828406E-3</c:v>
                </c:pt>
                <c:pt idx="147">
                  <c:v>-1.3201105988443892E-2</c:v>
                </c:pt>
                <c:pt idx="148">
                  <c:v>-1.3822363950257089E-2</c:v>
                </c:pt>
                <c:pt idx="149">
                  <c:v>6.3102846376867569E-3</c:v>
                </c:pt>
                <c:pt idx="150">
                  <c:v>3.1997341907610043E-3</c:v>
                </c:pt>
                <c:pt idx="151">
                  <c:v>2.8365367951750844E-3</c:v>
                </c:pt>
                <c:pt idx="152">
                  <c:v>3.6961856275960067E-3</c:v>
                </c:pt>
                <c:pt idx="153">
                  <c:v>-6.8192522778982778E-3</c:v>
                </c:pt>
                <c:pt idx="154">
                  <c:v>2.5812109836164374E-3</c:v>
                </c:pt>
                <c:pt idx="155">
                  <c:v>3.1661016930860314E-3</c:v>
                </c:pt>
                <c:pt idx="156">
                  <c:v>-7.1162197669271295E-3</c:v>
                </c:pt>
                <c:pt idx="157">
                  <c:v>1.9665399871236153E-2</c:v>
                </c:pt>
                <c:pt idx="158">
                  <c:v>5.9337145637730513E-3</c:v>
                </c:pt>
                <c:pt idx="159">
                  <c:v>-1.2143211157002474E-2</c:v>
                </c:pt>
                <c:pt idx="160">
                  <c:v>7.4404194366253593E-3</c:v>
                </c:pt>
                <c:pt idx="161">
                  <c:v>-1.0005212590329307E-2</c:v>
                </c:pt>
                <c:pt idx="162">
                  <c:v>8.7610172370882478E-3</c:v>
                </c:pt>
                <c:pt idx="163">
                  <c:v>1.2933761188865233E-2</c:v>
                </c:pt>
                <c:pt idx="164">
                  <c:v>-8.4920110384975305E-3</c:v>
                </c:pt>
                <c:pt idx="165">
                  <c:v>1.023044981412048E-2</c:v>
                </c:pt>
                <c:pt idx="166">
                  <c:v>4.8615039558976515E-3</c:v>
                </c:pt>
                <c:pt idx="167">
                  <c:v>8.8634452394520304E-3</c:v>
                </c:pt>
                <c:pt idx="168">
                  <c:v>2.0269635440790891E-2</c:v>
                </c:pt>
                <c:pt idx="169">
                  <c:v>-2.7166877695450325E-3</c:v>
                </c:pt>
                <c:pt idx="170">
                  <c:v>-7.0016110826944802E-3</c:v>
                </c:pt>
                <c:pt idx="171">
                  <c:v>-8.7004675955682457E-3</c:v>
                </c:pt>
                <c:pt idx="172">
                  <c:v>-8.3326488017001123E-3</c:v>
                </c:pt>
                <c:pt idx="173">
                  <c:v>-5.3771891585404285E-4</c:v>
                </c:pt>
                <c:pt idx="174">
                  <c:v>3.5689868357062136E-3</c:v>
                </c:pt>
                <c:pt idx="175">
                  <c:v>2.9188495799730967E-3</c:v>
                </c:pt>
                <c:pt idx="176">
                  <c:v>8.7876670220886927E-3</c:v>
                </c:pt>
                <c:pt idx="177">
                  <c:v>3.9912193704844801E-4</c:v>
                </c:pt>
                <c:pt idx="178">
                  <c:v>1.4444864903524457E-2</c:v>
                </c:pt>
                <c:pt idx="179">
                  <c:v>-2.7342805469443105E-3</c:v>
                </c:pt>
                <c:pt idx="180">
                  <c:v>2.6601048383635115E-2</c:v>
                </c:pt>
                <c:pt idx="181">
                  <c:v>8.3670803066559097E-3</c:v>
                </c:pt>
                <c:pt idx="182">
                  <c:v>-8.9088268120969538E-3</c:v>
                </c:pt>
                <c:pt idx="183">
                  <c:v>-1.0752605375643568E-2</c:v>
                </c:pt>
                <c:pt idx="184">
                  <c:v>5.6532182272813853E-3</c:v>
                </c:pt>
                <c:pt idx="185">
                  <c:v>-2.081790297793948E-3</c:v>
                </c:pt>
                <c:pt idx="186">
                  <c:v>7.5358083382229902E-3</c:v>
                </c:pt>
                <c:pt idx="187">
                  <c:v>5.2921805565481293E-3</c:v>
                </c:pt>
                <c:pt idx="188">
                  <c:v>-4.826249008080478E-4</c:v>
                </c:pt>
                <c:pt idx="189">
                  <c:v>-7.7785413297187063E-3</c:v>
                </c:pt>
                <c:pt idx="190">
                  <c:v>-1.6177610551065667E-2</c:v>
                </c:pt>
                <c:pt idx="191">
                  <c:v>-5.0197813926275339E-3</c:v>
                </c:pt>
                <c:pt idx="192">
                  <c:v>8.5899744800403029E-3</c:v>
                </c:pt>
                <c:pt idx="193">
                  <c:v>2.4329453622777822E-3</c:v>
                </c:pt>
                <c:pt idx="194">
                  <c:v>-1.1820349939107919E-2</c:v>
                </c:pt>
                <c:pt idx="195">
                  <c:v>2.1989614233091119E-3</c:v>
                </c:pt>
                <c:pt idx="196">
                  <c:v>4.2078971355218606E-3</c:v>
                </c:pt>
                <c:pt idx="197">
                  <c:v>-8.3146894543242224E-3</c:v>
                </c:pt>
                <c:pt idx="198">
                  <c:v>1.8926836644069234E-3</c:v>
                </c:pt>
                <c:pt idx="199">
                  <c:v>8.3275718081626284E-4</c:v>
                </c:pt>
                <c:pt idx="200">
                  <c:v>-1.1222078721036192E-2</c:v>
                </c:pt>
                <c:pt idx="201">
                  <c:v>4.2560729739904799E-3</c:v>
                </c:pt>
                <c:pt idx="202">
                  <c:v>6.0625584539794972E-3</c:v>
                </c:pt>
                <c:pt idx="203">
                  <c:v>1.1337198644370486E-2</c:v>
                </c:pt>
                <c:pt idx="204">
                  <c:v>1.1649393177382806E-2</c:v>
                </c:pt>
                <c:pt idx="205">
                  <c:v>-1.4504209553333199E-2</c:v>
                </c:pt>
                <c:pt idx="206">
                  <c:v>-9.9301034976918799E-3</c:v>
                </c:pt>
                <c:pt idx="207">
                  <c:v>5.9467640194596303E-3</c:v>
                </c:pt>
                <c:pt idx="208">
                  <c:v>5.6692165333906775E-3</c:v>
                </c:pt>
                <c:pt idx="209">
                  <c:v>5.7490828885752975E-3</c:v>
                </c:pt>
                <c:pt idx="210">
                  <c:v>4.1351031865498641E-2</c:v>
                </c:pt>
                <c:pt idx="211">
                  <c:v>8.5110735661844388E-3</c:v>
                </c:pt>
                <c:pt idx="212">
                  <c:v>1.2512085499561955E-2</c:v>
                </c:pt>
                <c:pt idx="213">
                  <c:v>1.1155349877315108E-2</c:v>
                </c:pt>
                <c:pt idx="214">
                  <c:v>7.5371722364892275E-3</c:v>
                </c:pt>
                <c:pt idx="215">
                  <c:v>-2.9510595656663517E-3</c:v>
                </c:pt>
                <c:pt idx="216">
                  <c:v>7.7331655324222957E-3</c:v>
                </c:pt>
                <c:pt idx="217">
                  <c:v>-7.5516283254135393E-3</c:v>
                </c:pt>
                <c:pt idx="218">
                  <c:v>-2.3095867274594848E-3</c:v>
                </c:pt>
                <c:pt idx="219">
                  <c:v>-4.5357518632557362E-3</c:v>
                </c:pt>
                <c:pt idx="220">
                  <c:v>1.0728944898763643E-3</c:v>
                </c:pt>
                <c:pt idx="221">
                  <c:v>2.2973813584132235E-2</c:v>
                </c:pt>
                <c:pt idx="222">
                  <c:v>-2.2892930712884726E-2</c:v>
                </c:pt>
                <c:pt idx="223">
                  <c:v>8.5779369339966955E-3</c:v>
                </c:pt>
                <c:pt idx="224">
                  <c:v>-1.6188710353566772E-2</c:v>
                </c:pt>
                <c:pt idx="225">
                  <c:v>-5.2365124520414343E-3</c:v>
                </c:pt>
                <c:pt idx="226">
                  <c:v>1.1341792619253785E-2</c:v>
                </c:pt>
                <c:pt idx="227">
                  <c:v>9.7154536546631095E-4</c:v>
                </c:pt>
                <c:pt idx="228">
                  <c:v>-1.0138829373300696E-2</c:v>
                </c:pt>
                <c:pt idx="229">
                  <c:v>-7.6550932948300258E-3</c:v>
                </c:pt>
                <c:pt idx="230">
                  <c:v>7.3911310328928399E-3</c:v>
                </c:pt>
                <c:pt idx="231">
                  <c:v>-7.3817167207849569E-3</c:v>
                </c:pt>
                <c:pt idx="232">
                  <c:v>2.5879256400356174E-3</c:v>
                </c:pt>
                <c:pt idx="233">
                  <c:v>7.1338060940636988E-4</c:v>
                </c:pt>
                <c:pt idx="234">
                  <c:v>-5.770891327860378E-3</c:v>
                </c:pt>
                <c:pt idx="235">
                  <c:v>2.1259342768911883E-2</c:v>
                </c:pt>
                <c:pt idx="236">
                  <c:v>8.0424823987987754E-3</c:v>
                </c:pt>
                <c:pt idx="237">
                  <c:v>-2.1204253416262798E-2</c:v>
                </c:pt>
                <c:pt idx="238">
                  <c:v>2.5267324531283086E-3</c:v>
                </c:pt>
                <c:pt idx="239">
                  <c:v>-6.0598866695904495E-3</c:v>
                </c:pt>
                <c:pt idx="240">
                  <c:v>8.7269403652824196E-3</c:v>
                </c:pt>
                <c:pt idx="241">
                  <c:v>-7.7621141880172334E-3</c:v>
                </c:pt>
                <c:pt idx="242">
                  <c:v>-9.2020297906603632E-4</c:v>
                </c:pt>
                <c:pt idx="243">
                  <c:v>5.1768437149770901E-3</c:v>
                </c:pt>
                <c:pt idx="244">
                  <c:v>8.9665421781810195E-3</c:v>
                </c:pt>
                <c:pt idx="245">
                  <c:v>-1.2392910283685573E-2</c:v>
                </c:pt>
                <c:pt idx="246">
                  <c:v>-3.5534278142564791E-3</c:v>
                </c:pt>
                <c:pt idx="247">
                  <c:v>-4.3904913500291002E-3</c:v>
                </c:pt>
                <c:pt idx="248">
                  <c:v>-6.3081371950149566E-3</c:v>
                </c:pt>
                <c:pt idx="249">
                  <c:v>1.8866950773888582E-2</c:v>
                </c:pt>
                <c:pt idx="250">
                  <c:v>4.9861947356177119E-3</c:v>
                </c:pt>
                <c:pt idx="251">
                  <c:v>-1.2639391917641945E-2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B9-D243-BB20-80BBDA177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6697662"/>
        <c:axId val="64447930"/>
      </c:lineChart>
      <c:catAx>
        <c:axId val="566976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47930"/>
        <c:crosses val="autoZero"/>
        <c:auto val="1"/>
        <c:lblAlgn val="ctr"/>
        <c:lblOffset val="100"/>
        <c:noMultiLvlLbl val="0"/>
      </c:catAx>
      <c:valAx>
        <c:axId val="64447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9766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 4 — Volatility Clustering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7920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'2.STYLIZED FACTS'!$D$4:$D$255</c:f>
              <c:numCache>
                <c:formatCode>0.0000</c:formatCode>
                <c:ptCount val="252"/>
                <c:pt idx="0">
                  <c:v>0</c:v>
                </c:pt>
                <c:pt idx="1">
                  <c:v>3.4631722501977267E-5</c:v>
                </c:pt>
                <c:pt idx="2">
                  <c:v>1.4674070139866073E-6</c:v>
                </c:pt>
                <c:pt idx="3">
                  <c:v>4.4499462479106656E-5</c:v>
                </c:pt>
                <c:pt idx="4">
                  <c:v>2.5809986026121526E-4</c:v>
                </c:pt>
                <c:pt idx="5">
                  <c:v>6.0264168110547443E-6</c:v>
                </c:pt>
                <c:pt idx="6">
                  <c:v>4.0451274623866167E-6</c:v>
                </c:pt>
                <c:pt idx="7">
                  <c:v>2.3514083692375884E-4</c:v>
                </c:pt>
                <c:pt idx="8">
                  <c:v>7.8763573979214396E-5</c:v>
                </c:pt>
                <c:pt idx="9">
                  <c:v>2.3247736351039394E-5</c:v>
                </c:pt>
                <c:pt idx="10">
                  <c:v>3.0386880530482058E-5</c:v>
                </c:pt>
                <c:pt idx="11">
                  <c:v>1.8408303792289058E-5</c:v>
                </c:pt>
                <c:pt idx="12">
                  <c:v>1.7747941781904288E-5</c:v>
                </c:pt>
                <c:pt idx="13">
                  <c:v>6.7430678266357658E-6</c:v>
                </c:pt>
                <c:pt idx="14">
                  <c:v>3.6754841119424872E-4</c:v>
                </c:pt>
                <c:pt idx="15">
                  <c:v>4.1903776045718288E-4</c:v>
                </c:pt>
                <c:pt idx="16">
                  <c:v>4.1954222399331859E-5</c:v>
                </c:pt>
                <c:pt idx="17">
                  <c:v>9.5989349316754971E-5</c:v>
                </c:pt>
                <c:pt idx="18">
                  <c:v>1.3099573421196241E-5</c:v>
                </c:pt>
                <c:pt idx="19">
                  <c:v>7.6605391572583551E-5</c:v>
                </c:pt>
                <c:pt idx="20">
                  <c:v>2.0309574718807189E-4</c:v>
                </c:pt>
                <c:pt idx="21">
                  <c:v>2.7667266237602452E-4</c:v>
                </c:pt>
                <c:pt idx="22">
                  <c:v>5.4193635230903455E-6</c:v>
                </c:pt>
                <c:pt idx="23">
                  <c:v>8.784607261534598E-7</c:v>
                </c:pt>
                <c:pt idx="24">
                  <c:v>1.8593372228710737E-4</c:v>
                </c:pt>
                <c:pt idx="25">
                  <c:v>3.1272020069908661E-5</c:v>
                </c:pt>
                <c:pt idx="26">
                  <c:v>1.919388903171621E-6</c:v>
                </c:pt>
                <c:pt idx="27">
                  <c:v>1.2136013975985145E-4</c:v>
                </c:pt>
                <c:pt idx="28">
                  <c:v>1.8786925055559306E-5</c:v>
                </c:pt>
                <c:pt idx="29">
                  <c:v>3.5566497113227438E-5</c:v>
                </c:pt>
                <c:pt idx="30">
                  <c:v>7.6506925827527682E-6</c:v>
                </c:pt>
                <c:pt idx="31">
                  <c:v>2.9976248675258525E-5</c:v>
                </c:pt>
                <c:pt idx="32">
                  <c:v>3.3883029958060141E-4</c:v>
                </c:pt>
                <c:pt idx="33">
                  <c:v>7.7000779100382002E-9</c:v>
                </c:pt>
                <c:pt idx="34">
                  <c:v>8.7539986228224903E-5</c:v>
                </c:pt>
                <c:pt idx="35">
                  <c:v>8.2472889308862546E-5</c:v>
                </c:pt>
                <c:pt idx="36">
                  <c:v>1.7397067572075096E-4</c:v>
                </c:pt>
                <c:pt idx="37">
                  <c:v>6.7071739099660293E-6</c:v>
                </c:pt>
                <c:pt idx="38">
                  <c:v>3.5367537310403667E-4</c:v>
                </c:pt>
                <c:pt idx="39">
                  <c:v>2.4257805423083512E-4</c:v>
                </c:pt>
                <c:pt idx="40">
                  <c:v>6.1892114145541307E-6</c:v>
                </c:pt>
                <c:pt idx="41">
                  <c:v>5.705225121296976E-5</c:v>
                </c:pt>
                <c:pt idx="42">
                  <c:v>4.4714161654776022E-6</c:v>
                </c:pt>
                <c:pt idx="43">
                  <c:v>7.1856355993930929E-7</c:v>
                </c:pt>
                <c:pt idx="44">
                  <c:v>7.6073401783137663E-6</c:v>
                </c:pt>
                <c:pt idx="45">
                  <c:v>2.2056123455813269E-4</c:v>
                </c:pt>
                <c:pt idx="46">
                  <c:v>5.9030447128772628E-5</c:v>
                </c:pt>
                <c:pt idx="47">
                  <c:v>1.9059184623932433E-5</c:v>
                </c:pt>
                <c:pt idx="48">
                  <c:v>1.1048229158247822E-4</c:v>
                </c:pt>
                <c:pt idx="49">
                  <c:v>1.4596643709902482E-5</c:v>
                </c:pt>
                <c:pt idx="50">
                  <c:v>2.7828689522097432E-4</c:v>
                </c:pt>
                <c:pt idx="51">
                  <c:v>1.6317033927242712E-5</c:v>
                </c:pt>
                <c:pt idx="52">
                  <c:v>1.1784446699702472E-5</c:v>
                </c:pt>
                <c:pt idx="53">
                  <c:v>4.0264257905431223E-5</c:v>
                </c:pt>
                <c:pt idx="54">
                  <c:v>4.5490587125691726E-5</c:v>
                </c:pt>
                <c:pt idx="55">
                  <c:v>1.0975404188685838E-4</c:v>
                </c:pt>
                <c:pt idx="56">
                  <c:v>1.1158103355150019E-4</c:v>
                </c:pt>
                <c:pt idx="57">
                  <c:v>7.4459366344017716E-5</c:v>
                </c:pt>
                <c:pt idx="58">
                  <c:v>8.3691843196652798E-6</c:v>
                </c:pt>
                <c:pt idx="59">
                  <c:v>1.2931499835342092E-5</c:v>
                </c:pt>
                <c:pt idx="60">
                  <c:v>1.0186111660728627E-4</c:v>
                </c:pt>
                <c:pt idx="61">
                  <c:v>2.5519962873736365E-5</c:v>
                </c:pt>
                <c:pt idx="62">
                  <c:v>2.7438978767916573E-6</c:v>
                </c:pt>
                <c:pt idx="63">
                  <c:v>1.1653779477113484E-4</c:v>
                </c:pt>
                <c:pt idx="64">
                  <c:v>1.5487801284120252E-4</c:v>
                </c:pt>
                <c:pt idx="65">
                  <c:v>8.0543553116855273E-5</c:v>
                </c:pt>
                <c:pt idx="66">
                  <c:v>2.2339793222992974E-4</c:v>
                </c:pt>
                <c:pt idx="67">
                  <c:v>3.4093494701851029E-7</c:v>
                </c:pt>
                <c:pt idx="68">
                  <c:v>1.0698176255519546E-4</c:v>
                </c:pt>
                <c:pt idx="69">
                  <c:v>1.7009276881390539E-5</c:v>
                </c:pt>
                <c:pt idx="70">
                  <c:v>3.7447501682613145E-5</c:v>
                </c:pt>
                <c:pt idx="71">
                  <c:v>1.648883074075946E-5</c:v>
                </c:pt>
                <c:pt idx="72">
                  <c:v>2.385744051984743E-4</c:v>
                </c:pt>
                <c:pt idx="73">
                  <c:v>3.0425387535618912E-8</c:v>
                </c:pt>
                <c:pt idx="74">
                  <c:v>2.4688551268809919E-4</c:v>
                </c:pt>
                <c:pt idx="75">
                  <c:v>8.6848071228833815E-4</c:v>
                </c:pt>
                <c:pt idx="76">
                  <c:v>1.2435591199433962E-4</c:v>
                </c:pt>
                <c:pt idx="77">
                  <c:v>1.4912916114358188E-6</c:v>
                </c:pt>
                <c:pt idx="78">
                  <c:v>6.3007192302235525E-6</c:v>
                </c:pt>
                <c:pt idx="79">
                  <c:v>1.4435672751749409E-6</c:v>
                </c:pt>
                <c:pt idx="80">
                  <c:v>3.5932359632547364E-4</c:v>
                </c:pt>
                <c:pt idx="81">
                  <c:v>5.817011554477512E-6</c:v>
                </c:pt>
                <c:pt idx="82">
                  <c:v>1.381343597979044E-5</c:v>
                </c:pt>
                <c:pt idx="83">
                  <c:v>2.4120913668659473E-4</c:v>
                </c:pt>
                <c:pt idx="84">
                  <c:v>3.1319100421043147E-5</c:v>
                </c:pt>
                <c:pt idx="85">
                  <c:v>5.7998199891805097E-5</c:v>
                </c:pt>
                <c:pt idx="86">
                  <c:v>2.6668981585783595E-5</c:v>
                </c:pt>
                <c:pt idx="87">
                  <c:v>8.4956115840143201E-5</c:v>
                </c:pt>
                <c:pt idx="88">
                  <c:v>1.3713852290022864E-5</c:v>
                </c:pt>
                <c:pt idx="89">
                  <c:v>2.7398172026056893E-5</c:v>
                </c:pt>
                <c:pt idx="90">
                  <c:v>3.2284927175408638E-5</c:v>
                </c:pt>
                <c:pt idx="91">
                  <c:v>1.5899500381361E-6</c:v>
                </c:pt>
                <c:pt idx="92">
                  <c:v>9.520952598393531E-5</c:v>
                </c:pt>
                <c:pt idx="93">
                  <c:v>5.2046768024113792E-5</c:v>
                </c:pt>
                <c:pt idx="94">
                  <c:v>9.4759277284356434E-6</c:v>
                </c:pt>
                <c:pt idx="95">
                  <c:v>1.2591543872315963E-5</c:v>
                </c:pt>
                <c:pt idx="96">
                  <c:v>2.1096251385268144E-4</c:v>
                </c:pt>
                <c:pt idx="97">
                  <c:v>1.3364797732241963E-5</c:v>
                </c:pt>
                <c:pt idx="98">
                  <c:v>8.6157106072903345E-6</c:v>
                </c:pt>
                <c:pt idx="99">
                  <c:v>1.0086302882342418E-7</c:v>
                </c:pt>
                <c:pt idx="100">
                  <c:v>3.5364283791346925E-6</c:v>
                </c:pt>
                <c:pt idx="101">
                  <c:v>1.8286219038522378E-4</c:v>
                </c:pt>
                <c:pt idx="102">
                  <c:v>1.8145673822350378E-5</c:v>
                </c:pt>
                <c:pt idx="103">
                  <c:v>1.0157550193556258E-5</c:v>
                </c:pt>
                <c:pt idx="104">
                  <c:v>5.8318451505072323E-5</c:v>
                </c:pt>
                <c:pt idx="105">
                  <c:v>2.1954255579435007E-6</c:v>
                </c:pt>
                <c:pt idx="106">
                  <c:v>1.7113115842592131E-5</c:v>
                </c:pt>
                <c:pt idx="107">
                  <c:v>3.4288621345185286E-4</c:v>
                </c:pt>
                <c:pt idx="108">
                  <c:v>5.0440923445651996E-6</c:v>
                </c:pt>
                <c:pt idx="109">
                  <c:v>8.121541620326116E-6</c:v>
                </c:pt>
                <c:pt idx="110">
                  <c:v>2.2429951715259538E-7</c:v>
                </c:pt>
                <c:pt idx="111">
                  <c:v>3.0327411835342826E-4</c:v>
                </c:pt>
                <c:pt idx="112">
                  <c:v>1.9598029090060322E-9</c:v>
                </c:pt>
                <c:pt idx="113">
                  <c:v>7.3193669732254185E-7</c:v>
                </c:pt>
                <c:pt idx="114">
                  <c:v>5.3054334951303014E-4</c:v>
                </c:pt>
                <c:pt idx="115">
                  <c:v>4.7649283442170778E-6</c:v>
                </c:pt>
                <c:pt idx="116">
                  <c:v>1.0725113614869264E-5</c:v>
                </c:pt>
                <c:pt idx="117">
                  <c:v>3.5966183863779635E-9</c:v>
                </c:pt>
                <c:pt idx="118">
                  <c:v>1.564675903510322E-4</c:v>
                </c:pt>
                <c:pt idx="119">
                  <c:v>1.3400176975744472E-3</c:v>
                </c:pt>
                <c:pt idx="120">
                  <c:v>1.0434414307429987E-4</c:v>
                </c:pt>
                <c:pt idx="121">
                  <c:v>5.6813252090877895E-4</c:v>
                </c:pt>
                <c:pt idx="122">
                  <c:v>1.3242134186720785E-4</c:v>
                </c:pt>
                <c:pt idx="123">
                  <c:v>1.9574545868210852E-3</c:v>
                </c:pt>
                <c:pt idx="124">
                  <c:v>3.8638398945379311E-4</c:v>
                </c:pt>
                <c:pt idx="125">
                  <c:v>3.9821350254896259E-4</c:v>
                </c:pt>
                <c:pt idx="126">
                  <c:v>7.456023142968913E-4</c:v>
                </c:pt>
                <c:pt idx="127">
                  <c:v>1.0401458483772475E-3</c:v>
                </c:pt>
                <c:pt idx="128">
                  <c:v>3.6759394943169373E-5</c:v>
                </c:pt>
                <c:pt idx="129">
                  <c:v>1.6651754007411596E-6</c:v>
                </c:pt>
                <c:pt idx="130">
                  <c:v>2.0868117725135163E-5</c:v>
                </c:pt>
                <c:pt idx="131">
                  <c:v>2.5370156402678947E-4</c:v>
                </c:pt>
                <c:pt idx="132">
                  <c:v>1.032037169265976E-6</c:v>
                </c:pt>
                <c:pt idx="133">
                  <c:v>9.9400946033089367E-5</c:v>
                </c:pt>
                <c:pt idx="134">
                  <c:v>2.6350746071268133E-5</c:v>
                </c:pt>
                <c:pt idx="135">
                  <c:v>8.1568916808534366E-5</c:v>
                </c:pt>
                <c:pt idx="136">
                  <c:v>2.5872012783678737E-4</c:v>
                </c:pt>
                <c:pt idx="137">
                  <c:v>7.1314424701535769E-5</c:v>
                </c:pt>
                <c:pt idx="138">
                  <c:v>9.0983779162663181E-6</c:v>
                </c:pt>
                <c:pt idx="139">
                  <c:v>7.0892670856136482E-5</c:v>
                </c:pt>
                <c:pt idx="140">
                  <c:v>1.685217861315406E-4</c:v>
                </c:pt>
                <c:pt idx="141">
                  <c:v>7.8079385362025919E-6</c:v>
                </c:pt>
                <c:pt idx="142">
                  <c:v>1.8774677316891756E-4</c:v>
                </c:pt>
                <c:pt idx="143">
                  <c:v>3.067962617099144E-4</c:v>
                </c:pt>
                <c:pt idx="144">
                  <c:v>5.5806612171580894E-6</c:v>
                </c:pt>
                <c:pt idx="145">
                  <c:v>8.4270977790290133E-6</c:v>
                </c:pt>
                <c:pt idx="146">
                  <c:v>6.0733957378864468E-5</c:v>
                </c:pt>
                <c:pt idx="147">
                  <c:v>1.742691993181292E-4</c:v>
                </c:pt>
                <c:pt idx="148">
                  <c:v>1.9105774517336676E-4</c:v>
                </c:pt>
                <c:pt idx="149">
                  <c:v>3.9819692208625488E-5</c:v>
                </c:pt>
                <c:pt idx="150">
                  <c:v>1.0238298891524979E-5</c:v>
                </c:pt>
                <c:pt idx="151">
                  <c:v>8.0459409903821382E-6</c:v>
                </c:pt>
                <c:pt idx="152">
                  <c:v>1.3661788193647286E-5</c:v>
                </c:pt>
                <c:pt idx="153">
                  <c:v>4.6502201629620853E-5</c:v>
                </c:pt>
                <c:pt idx="154">
                  <c:v>6.6626501419421362E-6</c:v>
                </c:pt>
                <c:pt idx="155">
                  <c:v>1.0024199930962235E-5</c:v>
                </c:pt>
                <c:pt idx="156">
                  <c:v>5.0640583771204407E-5</c:v>
                </c:pt>
                <c:pt idx="157">
                  <c:v>3.8672795209561487E-4</c:v>
                </c:pt>
                <c:pt idx="158">
                  <c:v>3.5208968524332416E-5</c:v>
                </c:pt>
                <c:pt idx="159">
                  <c:v>1.4745757720354937E-4</c:v>
                </c:pt>
                <c:pt idx="160">
                  <c:v>5.5359841392912432E-5</c:v>
                </c:pt>
                <c:pt idx="161">
                  <c:v>1.001042789776841E-4</c:v>
                </c:pt>
                <c:pt idx="162">
                  <c:v>7.6755423028557394E-5</c:v>
                </c:pt>
                <c:pt idx="163">
                  <c:v>1.6728217849059659E-4</c:v>
                </c:pt>
                <c:pt idx="164">
                  <c:v>7.2114251477963908E-5</c:v>
                </c:pt>
                <c:pt idx="165">
                  <c:v>1.0466210339923776E-4</c:v>
                </c:pt>
                <c:pt idx="166">
                  <c:v>2.3634220713208514E-5</c:v>
                </c:pt>
                <c:pt idx="167">
                  <c:v>7.8560661512764861E-5</c:v>
                </c:pt>
                <c:pt idx="168">
                  <c:v>4.1085812090256612E-4</c:v>
                </c:pt>
                <c:pt idx="169">
                  <c:v>7.3803924371955639E-6</c:v>
                </c:pt>
                <c:pt idx="170">
                  <c:v>4.9022557753310171E-5</c:v>
                </c:pt>
                <c:pt idx="171">
                  <c:v>7.5698136381533094E-5</c:v>
                </c:pt>
                <c:pt idx="172">
                  <c:v>6.9433036052474317E-5</c:v>
                </c:pt>
                <c:pt idx="173">
                  <c:v>2.8914163246724719E-7</c:v>
                </c:pt>
                <c:pt idx="174">
                  <c:v>1.273766703344425E-5</c:v>
                </c:pt>
                <c:pt idx="175">
                  <c:v>8.5196828705091225E-6</c:v>
                </c:pt>
                <c:pt idx="176">
                  <c:v>7.722309169110515E-5</c:v>
                </c:pt>
                <c:pt idx="177">
                  <c:v>1.592983206333053E-7</c:v>
                </c:pt>
                <c:pt idx="178">
                  <c:v>2.0865412208107261E-4</c:v>
                </c:pt>
                <c:pt idx="179">
                  <c:v>7.4762901093980779E-6</c:v>
                </c:pt>
                <c:pt idx="180">
                  <c:v>7.0761577510849636E-4</c:v>
                </c:pt>
                <c:pt idx="181">
                  <c:v>7.0008032858029148E-5</c:v>
                </c:pt>
                <c:pt idx="182">
                  <c:v>7.9367195167937571E-5</c:v>
                </c:pt>
                <c:pt idx="183">
                  <c:v>1.1561852236431897E-4</c:v>
                </c:pt>
                <c:pt idx="184">
                  <c:v>3.195887632526649E-5</c:v>
                </c:pt>
                <c:pt idx="185">
                  <c:v>4.3338508439890141E-6</c:v>
                </c:pt>
                <c:pt idx="186">
                  <c:v>5.6788407310431144E-5</c:v>
                </c:pt>
                <c:pt idx="187">
                  <c:v>2.8007175043106066E-5</c:v>
                </c:pt>
                <c:pt idx="188">
                  <c:v>2.3292679487997798E-7</c:v>
                </c:pt>
                <c:pt idx="189">
                  <c:v>6.0505705218142059E-5</c:v>
                </c:pt>
                <c:pt idx="190">
                  <c:v>2.6171508314195121E-4</c:v>
                </c:pt>
                <c:pt idx="191">
                  <c:v>2.5198205229769622E-5</c:v>
                </c:pt>
                <c:pt idx="192">
                  <c:v>7.3787661567743665E-5</c:v>
                </c:pt>
                <c:pt idx="193">
                  <c:v>5.9192231358289689E-6</c:v>
                </c:pt>
                <c:pt idx="194">
                  <c:v>1.397206726829686E-4</c:v>
                </c:pt>
                <c:pt idx="195">
                  <c:v>4.8354313412016349E-6</c:v>
                </c:pt>
                <c:pt idx="196">
                  <c:v>1.770639830313308E-5</c:v>
                </c:pt>
                <c:pt idx="197">
                  <c:v>6.9134060721850432E-5</c:v>
                </c:pt>
                <c:pt idx="198">
                  <c:v>3.5822514535128195E-6</c:v>
                </c:pt>
                <c:pt idx="199">
                  <c:v>6.9348452220104992E-7</c:v>
                </c:pt>
                <c:pt idx="200">
                  <c:v>1.2593505082113331E-4</c:v>
                </c:pt>
                <c:pt idx="201">
                  <c:v>1.8114157159932169E-5</c:v>
                </c:pt>
                <c:pt idx="202">
                  <c:v>3.675461500791827E-5</c:v>
                </c:pt>
                <c:pt idx="203">
                  <c:v>1.2853207310191598E-4</c:v>
                </c:pt>
                <c:pt idx="204">
                  <c:v>1.3570836140125306E-4</c:v>
                </c:pt>
                <c:pt idx="205">
                  <c:v>2.1037209476700204E-4</c:v>
                </c:pt>
                <c:pt idx="206">
                  <c:v>9.8606955474872505E-5</c:v>
                </c:pt>
                <c:pt idx="207">
                  <c:v>3.5364002303139656E-5</c:v>
                </c:pt>
                <c:pt idx="208">
                  <c:v>3.2140016102470208E-5</c:v>
                </c:pt>
                <c:pt idx="209">
                  <c:v>3.3051954059709286E-5</c:v>
                </c:pt>
                <c:pt idx="210">
                  <c:v>1.709907836341484E-3</c:v>
                </c:pt>
                <c:pt idx="211">
                  <c:v>7.2438373249003496E-5</c:v>
                </c:pt>
                <c:pt idx="212">
                  <c:v>1.5655228354834855E-4</c:v>
                </c:pt>
                <c:pt idx="213">
                  <c:v>1.244418308853142E-4</c:v>
                </c:pt>
                <c:pt idx="214">
                  <c:v>5.6808965322504022E-5</c:v>
                </c:pt>
                <c:pt idx="215">
                  <c:v>8.708752560110876E-6</c:v>
                </c:pt>
                <c:pt idx="216">
                  <c:v>5.980184915184421E-5</c:v>
                </c:pt>
                <c:pt idx="217">
                  <c:v>5.7027090365188098E-5</c:v>
                </c:pt>
                <c:pt idx="218">
                  <c:v>5.3341908516570126E-6</c:v>
                </c:pt>
                <c:pt idx="219">
                  <c:v>2.0573044965027884E-5</c:v>
                </c:pt>
                <c:pt idx="220">
                  <c:v>1.1511025864070641E-6</c:v>
                </c:pt>
                <c:pt idx="221">
                  <c:v>5.2779611059845875E-4</c:v>
                </c:pt>
                <c:pt idx="222">
                  <c:v>5.2408627662494072E-4</c:v>
                </c:pt>
                <c:pt idx="223">
                  <c:v>7.3581002043624627E-5</c:v>
                </c:pt>
                <c:pt idx="224">
                  <c:v>2.6207434291168001E-4</c:v>
                </c:pt>
                <c:pt idx="225">
                  <c:v>2.7421062660384996E-5</c:v>
                </c:pt>
                <c:pt idx="226">
                  <c:v>1.2863625981815964E-4</c:v>
                </c:pt>
                <c:pt idx="227">
                  <c:v>9.4390039715906774E-7</c:v>
                </c:pt>
                <c:pt idx="228">
                  <c:v>1.0279586106090499E-4</c:v>
                </c:pt>
                <c:pt idx="229">
                  <c:v>5.860045335255162E-5</c:v>
                </c:pt>
                <c:pt idx="230">
                  <c:v>5.462881794539158E-5</c:v>
                </c:pt>
                <c:pt idx="231">
                  <c:v>5.4489741745916214E-5</c:v>
                </c:pt>
                <c:pt idx="232">
                  <c:v>6.6973591183537597E-6</c:v>
                </c:pt>
                <c:pt idx="233">
                  <c:v>5.0891189387700368E-7</c:v>
                </c:pt>
                <c:pt idx="234">
                  <c:v>3.3303186717974113E-5</c:v>
                </c:pt>
                <c:pt idx="235">
                  <c:v>4.5195965496608597E-4</c:v>
                </c:pt>
                <c:pt idx="236">
                  <c:v>6.46815231349881E-5</c:v>
                </c:pt>
                <c:pt idx="237">
                  <c:v>4.4962036294109251E-4</c:v>
                </c:pt>
                <c:pt idx="238">
                  <c:v>6.3843768896918003E-6</c:v>
                </c:pt>
                <c:pt idx="239">
                  <c:v>3.6722226448280027E-5</c:v>
                </c:pt>
                <c:pt idx="240">
                  <c:v>7.615948813919565E-5</c:v>
                </c:pt>
                <c:pt idx="241">
                  <c:v>6.0250416667818433E-5</c:v>
                </c:pt>
                <c:pt idx="242">
                  <c:v>8.4677352268200803E-7</c:v>
                </c:pt>
                <c:pt idx="243">
                  <c:v>2.6799710849297799E-5</c:v>
                </c:pt>
                <c:pt idx="244">
                  <c:v>8.0398878633099218E-5</c:v>
                </c:pt>
                <c:pt idx="245">
                  <c:v>1.5358422529947963E-4</c:v>
                </c:pt>
                <c:pt idx="246">
                  <c:v>1.2626849231131579E-5</c:v>
                </c:pt>
                <c:pt idx="247">
                  <c:v>1.9276414294680349E-5</c:v>
                </c:pt>
                <c:pt idx="248">
                  <c:v>3.9792594871131163E-5</c:v>
                </c:pt>
                <c:pt idx="249">
                  <c:v>3.5596183150433497E-4</c:v>
                </c:pt>
                <c:pt idx="250">
                  <c:v>2.4862137941501785E-5</c:v>
                </c:pt>
                <c:pt idx="251">
                  <c:v>1.5975422804775252E-4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5B-EA48-A505-65AC1D02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62384046"/>
        <c:axId val="2112423"/>
      </c:lineChart>
      <c:catAx>
        <c:axId val="62384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2423"/>
        <c:crosses val="autoZero"/>
        <c:auto val="1"/>
        <c:lblAlgn val="ctr"/>
        <c:lblOffset val="100"/>
        <c:noMultiLvlLbl val="0"/>
      </c:catAx>
      <c:valAx>
        <c:axId val="2112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Return² (%²)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8404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Fact 3 — Near-Zero Autocorrelation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'2.STYLIZED FACTS'!$P$4</c:f>
              <c:strCache>
                <c:ptCount val="1"/>
                <c:pt idx="0">
                  <c:v>r(t)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'2.STYLIZED FACTS'!$O$6:$O$255</c:f>
              <c:numCache>
                <c:formatCode>0.0000</c:formatCode>
                <c:ptCount val="250"/>
                <c:pt idx="0">
                  <c:v>5.8848723437282197E-3</c:v>
                </c:pt>
                <c:pt idx="1">
                  <c:v>-1.2113657639155101E-3</c:v>
                </c:pt>
                <c:pt idx="2" formatCode="General">
                  <c:v>6.6707917430471964E-3</c:v>
                </c:pt>
                <c:pt idx="3" formatCode="General">
                  <c:v>1.6065486617628962E-2</c:v>
                </c:pt>
                <c:pt idx="4" formatCode="General">
                  <c:v>-2.4548761294726756E-3</c:v>
                </c:pt>
                <c:pt idx="5" formatCode="General">
                  <c:v>-2.0112502237132545E-3</c:v>
                </c:pt>
                <c:pt idx="6" formatCode="General">
                  <c:v>1.5334302622674396E-2</c:v>
                </c:pt>
                <c:pt idx="7" formatCode="General">
                  <c:v>8.8748844487809755E-3</c:v>
                </c:pt>
                <c:pt idx="8" formatCode="General">
                  <c:v>-4.8215906453202137E-3</c:v>
                </c:pt>
                <c:pt idx="9" formatCode="General">
                  <c:v>5.5124296395039872E-3</c:v>
                </c:pt>
                <c:pt idx="10" formatCode="General">
                  <c:v>-4.2904899245061814E-3</c:v>
                </c:pt>
                <c:pt idx="11" formatCode="General">
                  <c:v>-4.2128306139583025E-3</c:v>
                </c:pt>
                <c:pt idx="12" formatCode="General">
                  <c:v>2.5967417712656309E-3</c:v>
                </c:pt>
                <c:pt idx="13" formatCode="General">
                  <c:v>-1.9171552133154184E-2</c:v>
                </c:pt>
                <c:pt idx="14" formatCode="General">
                  <c:v>-2.0470411829203214E-2</c:v>
                </c:pt>
                <c:pt idx="15" formatCode="General">
                  <c:v>-6.4772079169447584E-3</c:v>
                </c:pt>
                <c:pt idx="16" formatCode="General">
                  <c:v>-9.7974154406534671E-3</c:v>
                </c:pt>
                <c:pt idx="17" formatCode="General">
                  <c:v>3.6193332840726675E-3</c:v>
                </c:pt>
                <c:pt idx="18" formatCode="General">
                  <c:v>-8.7524506038356795E-3</c:v>
                </c:pt>
                <c:pt idx="19" formatCode="General">
                  <c:v>-1.4251166520256224E-2</c:v>
                </c:pt>
                <c:pt idx="20" formatCode="General">
                  <c:v>1.6633480164295882E-2</c:v>
                </c:pt>
                <c:pt idx="21" formatCode="General">
                  <c:v>-2.3279526462302333E-3</c:v>
                </c:pt>
                <c:pt idx="22" formatCode="General">
                  <c:v>9.3726235716231547E-4</c:v>
                </c:pt>
                <c:pt idx="23" formatCode="General">
                  <c:v>-1.3635751621641814E-2</c:v>
                </c:pt>
                <c:pt idx="24" formatCode="General">
                  <c:v>-5.5921391318446883E-3</c:v>
                </c:pt>
                <c:pt idx="25" formatCode="General">
                  <c:v>1.3854201179323263E-3</c:v>
                </c:pt>
                <c:pt idx="26" formatCode="General">
                  <c:v>-1.1016357826425731E-2</c:v>
                </c:pt>
                <c:pt idx="27" formatCode="General">
                  <c:v>4.3343886599564773E-3</c:v>
                </c:pt>
                <c:pt idx="28" formatCode="General">
                  <c:v>-5.9637653469286865E-3</c:v>
                </c:pt>
                <c:pt idx="29" formatCode="General">
                  <c:v>-2.7659885362656092E-3</c:v>
                </c:pt>
                <c:pt idx="30" formatCode="General">
                  <c:v>-5.4750569563483563E-3</c:v>
                </c:pt>
                <c:pt idx="31" formatCode="General">
                  <c:v>1.8407343631838935E-2</c:v>
                </c:pt>
                <c:pt idx="32" formatCode="General">
                  <c:v>8.7750087806441539E-5</c:v>
                </c:pt>
                <c:pt idx="33" formatCode="General">
                  <c:v>-9.3562805766086825E-3</c:v>
                </c:pt>
                <c:pt idx="34" formatCode="General">
                  <c:v>9.0814585452372431E-3</c:v>
                </c:pt>
                <c:pt idx="35" formatCode="General">
                  <c:v>-1.3189794377500771E-2</c:v>
                </c:pt>
                <c:pt idx="36" formatCode="General">
                  <c:v>2.5898212119692798E-3</c:v>
                </c:pt>
                <c:pt idx="37" formatCode="General">
                  <c:v>-1.8806258881128822E-2</c:v>
                </c:pt>
                <c:pt idx="38" formatCode="General">
                  <c:v>-1.5574917471076215E-2</c:v>
                </c:pt>
                <c:pt idx="39" formatCode="General">
                  <c:v>2.4878125762513E-3</c:v>
                </c:pt>
                <c:pt idx="40" formatCode="General">
                  <c:v>7.5532940637161585E-3</c:v>
                </c:pt>
                <c:pt idx="41" formatCode="General">
                  <c:v>2.1145723363076522E-3</c:v>
                </c:pt>
                <c:pt idx="42" formatCode="General">
                  <c:v>-8.4768128441018993E-4</c:v>
                </c:pt>
                <c:pt idx="43" formatCode="General">
                  <c:v>-2.7581407103905642E-3</c:v>
                </c:pt>
                <c:pt idx="44" formatCode="General">
                  <c:v>-1.4851304136611461E-2</c:v>
                </c:pt>
                <c:pt idx="45" formatCode="General">
                  <c:v>-7.683127431506823E-3</c:v>
                </c:pt>
                <c:pt idx="46" formatCode="General">
                  <c:v>-4.3656826068705946E-3</c:v>
                </c:pt>
                <c:pt idx="47" formatCode="General">
                  <c:v>1.0511055683539985E-2</c:v>
                </c:pt>
                <c:pt idx="48" formatCode="General">
                  <c:v>3.8205554190330077E-3</c:v>
                </c:pt>
                <c:pt idx="49" formatCode="General">
                  <c:v>-1.6681933197953237E-2</c:v>
                </c:pt>
                <c:pt idx="50" formatCode="General">
                  <c:v>4.0394348524568028E-3</c:v>
                </c:pt>
                <c:pt idx="51" formatCode="General">
                  <c:v>-3.4328481905995306E-3</c:v>
                </c:pt>
                <c:pt idx="52" formatCode="General">
                  <c:v>-6.3454123510951772E-3</c:v>
                </c:pt>
                <c:pt idx="53" formatCode="General">
                  <c:v>6.7446710168615137E-3</c:v>
                </c:pt>
                <c:pt idx="54" formatCode="General">
                  <c:v>1.0476356326837036E-2</c:v>
                </c:pt>
                <c:pt idx="55" formatCode="General">
                  <c:v>1.0563192393945127E-2</c:v>
                </c:pt>
                <c:pt idx="56" formatCode="General">
                  <c:v>-8.6289840852801277E-3</c:v>
                </c:pt>
                <c:pt idx="57" formatCode="General">
                  <c:v>-2.8929542546789915E-3</c:v>
                </c:pt>
                <c:pt idx="58" formatCode="General">
                  <c:v>3.5960394652092033E-3</c:v>
                </c:pt>
                <c:pt idx="59" formatCode="General">
                  <c:v>1.0092626843755111E-2</c:v>
                </c:pt>
                <c:pt idx="60" formatCode="General">
                  <c:v>-5.0517287015175672E-3</c:v>
                </c:pt>
                <c:pt idx="61" formatCode="General">
                  <c:v>-1.6564715140296429E-3</c:v>
                </c:pt>
                <c:pt idx="62" formatCode="General">
                  <c:v>-1.0795267239449648E-2</c:v>
                </c:pt>
                <c:pt idx="63" formatCode="General">
                  <c:v>-1.2444999511498685E-2</c:v>
                </c:pt>
                <c:pt idx="64" formatCode="General">
                  <c:v>8.9746060145755296E-3</c:v>
                </c:pt>
                <c:pt idx="65" formatCode="General">
                  <c:v>1.4946502341013758E-2</c:v>
                </c:pt>
                <c:pt idx="66" formatCode="General">
                  <c:v>-5.8389634955059472E-4</c:v>
                </c:pt>
                <c:pt idx="67" formatCode="General">
                  <c:v>1.0343198855054246E-2</c:v>
                </c:pt>
                <c:pt idx="68" formatCode="General">
                  <c:v>4.1242304592966844E-3</c:v>
                </c:pt>
                <c:pt idx="69" formatCode="General">
                  <c:v>-6.1194363860255256E-3</c:v>
                </c:pt>
                <c:pt idx="70" formatCode="General">
                  <c:v>4.0606441288001905E-3</c:v>
                </c:pt>
                <c:pt idx="71" formatCode="General">
                  <c:v>1.5445853980873777E-2</c:v>
                </c:pt>
                <c:pt idx="72" formatCode="General">
                  <c:v>-1.7442874629951025E-4</c:v>
                </c:pt>
                <c:pt idx="73" formatCode="General">
                  <c:v>1.5712590896733079E-2</c:v>
                </c:pt>
                <c:pt idx="74" formatCode="General">
                  <c:v>-2.9469996815207466E-2</c:v>
                </c:pt>
                <c:pt idx="75" formatCode="General">
                  <c:v>1.1151498195056108E-2</c:v>
                </c:pt>
                <c:pt idx="76" formatCode="General">
                  <c:v>1.2211845116262402E-3</c:v>
                </c:pt>
                <c:pt idx="77" formatCode="General">
                  <c:v>-2.5101233496032725E-3</c:v>
                </c:pt>
                <c:pt idx="78" formatCode="General">
                  <c:v>1.2014854452613818E-3</c:v>
                </c:pt>
                <c:pt idx="79" formatCode="General">
                  <c:v>-1.8955832778474114E-2</c:v>
                </c:pt>
                <c:pt idx="80" formatCode="General">
                  <c:v>-2.4118481615718499E-3</c:v>
                </c:pt>
                <c:pt idx="81" formatCode="General">
                  <c:v>3.7166431063246361E-3</c:v>
                </c:pt>
                <c:pt idx="82" formatCode="General">
                  <c:v>1.5530909074699869E-2</c:v>
                </c:pt>
                <c:pt idx="83" formatCode="General">
                  <c:v>-5.5963470604531978E-3</c:v>
                </c:pt>
                <c:pt idx="84" formatCode="General">
                  <c:v>-7.6156549220539856E-3</c:v>
                </c:pt>
                <c:pt idx="85" formatCode="General">
                  <c:v>-5.1642019311587337E-3</c:v>
                </c:pt>
                <c:pt idx="86" formatCode="General">
                  <c:v>9.2171641973083675E-3</c:v>
                </c:pt>
                <c:pt idx="87" formatCode="General">
                  <c:v>3.7032218796640938E-3</c:v>
                </c:pt>
                <c:pt idx="88" formatCode="General">
                  <c:v>-5.2343263201731025E-3</c:v>
                </c:pt>
                <c:pt idx="89" formatCode="General">
                  <c:v>5.6819826799638026E-3</c:v>
                </c:pt>
                <c:pt idx="90" formatCode="General">
                  <c:v>1.2609322099685217E-3</c:v>
                </c:pt>
                <c:pt idx="91" formatCode="General">
                  <c:v>9.7575368809928315E-3</c:v>
                </c:pt>
                <c:pt idx="92" formatCode="General">
                  <c:v>-7.2143446011480343E-3</c:v>
                </c:pt>
                <c:pt idx="93" formatCode="General">
                  <c:v>-3.0782994864755513E-3</c:v>
                </c:pt>
                <c:pt idx="94" formatCode="General">
                  <c:v>-3.5484565478974043E-3</c:v>
                </c:pt>
                <c:pt idx="95" formatCode="General">
                  <c:v>-1.4524548662615353E-2</c:v>
                </c:pt>
                <c:pt idx="96" formatCode="General">
                  <c:v>3.6557896181593878E-3</c:v>
                </c:pt>
                <c:pt idx="97" formatCode="General">
                  <c:v>2.9352530738064706E-3</c:v>
                </c:pt>
                <c:pt idx="98" formatCode="General">
                  <c:v>3.1758940288275392E-4</c:v>
                </c:pt>
                <c:pt idx="99" formatCode="General">
                  <c:v>-1.8805393851591336E-3</c:v>
                </c:pt>
                <c:pt idx="100" formatCode="General">
                  <c:v>-1.3522654709236045E-2</c:v>
                </c:pt>
                <c:pt idx="101" formatCode="General">
                  <c:v>-4.2597739168118275E-3</c:v>
                </c:pt>
                <c:pt idx="102" formatCode="General">
                  <c:v>-3.1870911806153677E-3</c:v>
                </c:pt>
                <c:pt idx="103" formatCode="General">
                  <c:v>-7.6366518517654268E-3</c:v>
                </c:pt>
                <c:pt idx="104" formatCode="General">
                  <c:v>-1.4816968508920779E-3</c:v>
                </c:pt>
                <c:pt idx="105" formatCode="General">
                  <c:v>4.1368001936994891E-3</c:v>
                </c:pt>
                <c:pt idx="106" formatCode="General">
                  <c:v>1.8517186974588037E-2</c:v>
                </c:pt>
                <c:pt idx="107" formatCode="General">
                  <c:v>2.2459056846994264E-3</c:v>
                </c:pt>
                <c:pt idx="108" formatCode="General">
                  <c:v>2.8498318582551702E-3</c:v>
                </c:pt>
                <c:pt idx="109" formatCode="General">
                  <c:v>-4.7360269968887991E-4</c:v>
                </c:pt>
                <c:pt idx="110" formatCode="General">
                  <c:v>-1.7414767249476184E-2</c:v>
                </c:pt>
                <c:pt idx="111" formatCode="General">
                  <c:v>-4.426966127051383E-5</c:v>
                </c:pt>
                <c:pt idx="112" formatCode="General">
                  <c:v>8.5553299020116216E-4</c:v>
                </c:pt>
                <c:pt idx="113" formatCode="General">
                  <c:v>2.3033526640812738E-2</c:v>
                </c:pt>
                <c:pt idx="114" formatCode="General">
                  <c:v>-2.1828715821635221E-3</c:v>
                </c:pt>
                <c:pt idx="115" formatCode="General">
                  <c:v>3.2749219250035968E-3</c:v>
                </c:pt>
                <c:pt idx="116" formatCode="General">
                  <c:v>-5.9971813265716448E-5</c:v>
                </c:pt>
                <c:pt idx="117" formatCode="General">
                  <c:v>1.2508700586033395E-2</c:v>
                </c:pt>
                <c:pt idx="118" formatCode="General">
                  <c:v>-3.6606252165093972E-2</c:v>
                </c:pt>
                <c:pt idx="119" formatCode="General">
                  <c:v>1.0214898094171075E-2</c:v>
                </c:pt>
                <c:pt idx="120" formatCode="General">
                  <c:v>-2.3835530640385981E-2</c:v>
                </c:pt>
                <c:pt idx="121" formatCode="General">
                  <c:v>1.1507447235039049E-2</c:v>
                </c:pt>
                <c:pt idx="122" formatCode="General">
                  <c:v>-4.4243130391294481E-2</c:v>
                </c:pt>
                <c:pt idx="123" formatCode="General">
                  <c:v>1.9656652549551592E-2</c:v>
                </c:pt>
                <c:pt idx="124" formatCode="General">
                  <c:v>-1.9955287583719825E-2</c:v>
                </c:pt>
                <c:pt idx="125" formatCode="General">
                  <c:v>2.730571944294622E-2</c:v>
                </c:pt>
                <c:pt idx="126" formatCode="General">
                  <c:v>-3.2251292197015106E-2</c:v>
                </c:pt>
                <c:pt idx="127" formatCode="General">
                  <c:v>-6.0629526588263389E-3</c:v>
                </c:pt>
                <c:pt idx="128" formatCode="General">
                  <c:v>1.2904167546731403E-3</c:v>
                </c:pt>
                <c:pt idx="129" formatCode="General">
                  <c:v>-4.5681634958848793E-3</c:v>
                </c:pt>
                <c:pt idx="130" formatCode="General">
                  <c:v>-1.5928011929515543E-2</c:v>
                </c:pt>
                <c:pt idx="131" formatCode="General">
                  <c:v>1.015892302001534E-3</c:v>
                </c:pt>
                <c:pt idx="132" formatCode="General">
                  <c:v>-9.9700023085799415E-3</c:v>
                </c:pt>
                <c:pt idx="133" formatCode="General">
                  <c:v>5.1332977773813331E-3</c:v>
                </c:pt>
                <c:pt idx="134" formatCode="General">
                  <c:v>-9.0315511850697257E-3</c:v>
                </c:pt>
                <c:pt idx="135" formatCode="General">
                  <c:v>1.6084779384150327E-2</c:v>
                </c:pt>
                <c:pt idx="136" formatCode="General">
                  <c:v>-8.4447868357665351E-3</c:v>
                </c:pt>
                <c:pt idx="137" formatCode="General">
                  <c:v>-3.0163517560566969E-3</c:v>
                </c:pt>
                <c:pt idx="138" formatCode="General">
                  <c:v>8.4197785514903232E-3</c:v>
                </c:pt>
                <c:pt idx="139" formatCode="General">
                  <c:v>-1.2981594129055977E-2</c:v>
                </c:pt>
                <c:pt idx="140" formatCode="General">
                  <c:v>2.7942688732837777E-3</c:v>
                </c:pt>
                <c:pt idx="141" formatCode="General">
                  <c:v>1.3702071856800254E-2</c:v>
                </c:pt>
                <c:pt idx="142" formatCode="General">
                  <c:v>-1.7515600523816316E-2</c:v>
                </c:pt>
                <c:pt idx="143" formatCode="General">
                  <c:v>2.3623423158293739E-3</c:v>
                </c:pt>
                <c:pt idx="144" formatCode="General">
                  <c:v>2.9029463961687293E-3</c:v>
                </c:pt>
                <c:pt idx="145" formatCode="General">
                  <c:v>7.7931994314828406E-3</c:v>
                </c:pt>
                <c:pt idx="146" formatCode="General">
                  <c:v>-1.3201105988443892E-2</c:v>
                </c:pt>
                <c:pt idx="147" formatCode="General">
                  <c:v>-1.3822363950257089E-2</c:v>
                </c:pt>
                <c:pt idx="148" formatCode="General">
                  <c:v>6.3102846376867569E-3</c:v>
                </c:pt>
                <c:pt idx="149" formatCode="General">
                  <c:v>3.1997341907610043E-3</c:v>
                </c:pt>
                <c:pt idx="150" formatCode="General">
                  <c:v>2.8365367951750844E-3</c:v>
                </c:pt>
                <c:pt idx="151" formatCode="General">
                  <c:v>3.6961856275960067E-3</c:v>
                </c:pt>
                <c:pt idx="152" formatCode="General">
                  <c:v>-6.8192522778982778E-3</c:v>
                </c:pt>
                <c:pt idx="153" formatCode="General">
                  <c:v>2.5812109836164374E-3</c:v>
                </c:pt>
                <c:pt idx="154" formatCode="General">
                  <c:v>3.1661016930860314E-3</c:v>
                </c:pt>
                <c:pt idx="155" formatCode="General">
                  <c:v>-7.1162197669271295E-3</c:v>
                </c:pt>
                <c:pt idx="156" formatCode="General">
                  <c:v>1.9665399871236153E-2</c:v>
                </c:pt>
                <c:pt idx="157" formatCode="General">
                  <c:v>5.9337145637730513E-3</c:v>
                </c:pt>
                <c:pt idx="158" formatCode="General">
                  <c:v>-1.2143211157002474E-2</c:v>
                </c:pt>
                <c:pt idx="159" formatCode="General">
                  <c:v>7.4404194366253593E-3</c:v>
                </c:pt>
                <c:pt idx="160" formatCode="General">
                  <c:v>-1.0005212590329307E-2</c:v>
                </c:pt>
                <c:pt idx="161" formatCode="General">
                  <c:v>8.7610172370882478E-3</c:v>
                </c:pt>
                <c:pt idx="162" formatCode="General">
                  <c:v>1.2933761188865233E-2</c:v>
                </c:pt>
                <c:pt idx="163" formatCode="General">
                  <c:v>-8.4920110384975305E-3</c:v>
                </c:pt>
                <c:pt idx="164" formatCode="General">
                  <c:v>1.023044981412048E-2</c:v>
                </c:pt>
                <c:pt idx="165" formatCode="General">
                  <c:v>4.8615039558976515E-3</c:v>
                </c:pt>
                <c:pt idx="166" formatCode="General">
                  <c:v>8.8634452394520304E-3</c:v>
                </c:pt>
                <c:pt idx="167" formatCode="General">
                  <c:v>2.0269635440790891E-2</c:v>
                </c:pt>
                <c:pt idx="168" formatCode="General">
                  <c:v>-2.7166877695450325E-3</c:v>
                </c:pt>
                <c:pt idx="169" formatCode="General">
                  <c:v>-7.0016110826944802E-3</c:v>
                </c:pt>
                <c:pt idx="170" formatCode="General">
                  <c:v>-8.7004675955682457E-3</c:v>
                </c:pt>
                <c:pt idx="171" formatCode="General">
                  <c:v>-8.3326488017001123E-3</c:v>
                </c:pt>
                <c:pt idx="172" formatCode="General">
                  <c:v>-5.3771891585404285E-4</c:v>
                </c:pt>
                <c:pt idx="173" formatCode="General">
                  <c:v>3.5689868357062136E-3</c:v>
                </c:pt>
                <c:pt idx="174" formatCode="General">
                  <c:v>2.9188495799730967E-3</c:v>
                </c:pt>
                <c:pt idx="175" formatCode="General">
                  <c:v>8.7876670220886927E-3</c:v>
                </c:pt>
                <c:pt idx="176" formatCode="General">
                  <c:v>3.9912193704844801E-4</c:v>
                </c:pt>
                <c:pt idx="177" formatCode="General">
                  <c:v>1.4444864903524457E-2</c:v>
                </c:pt>
                <c:pt idx="178" formatCode="General">
                  <c:v>-2.7342805469443105E-3</c:v>
                </c:pt>
                <c:pt idx="179" formatCode="General">
                  <c:v>2.6601048383635115E-2</c:v>
                </c:pt>
                <c:pt idx="180" formatCode="General">
                  <c:v>8.3670803066559097E-3</c:v>
                </c:pt>
                <c:pt idx="181" formatCode="General">
                  <c:v>-8.9088268120969538E-3</c:v>
                </c:pt>
                <c:pt idx="182" formatCode="General">
                  <c:v>-1.0752605375643568E-2</c:v>
                </c:pt>
                <c:pt idx="183" formatCode="General">
                  <c:v>5.6532182272813853E-3</c:v>
                </c:pt>
                <c:pt idx="184" formatCode="General">
                  <c:v>-2.081790297793948E-3</c:v>
                </c:pt>
                <c:pt idx="185" formatCode="General">
                  <c:v>7.5358083382229902E-3</c:v>
                </c:pt>
                <c:pt idx="186" formatCode="General">
                  <c:v>5.2921805565481293E-3</c:v>
                </c:pt>
                <c:pt idx="187" formatCode="General">
                  <c:v>-4.826249008080478E-4</c:v>
                </c:pt>
                <c:pt idx="188" formatCode="General">
                  <c:v>-7.7785413297187063E-3</c:v>
                </c:pt>
                <c:pt idx="189" formatCode="General">
                  <c:v>-1.6177610551065667E-2</c:v>
                </c:pt>
                <c:pt idx="190" formatCode="General">
                  <c:v>-5.0197813926275339E-3</c:v>
                </c:pt>
                <c:pt idx="191" formatCode="General">
                  <c:v>8.5899744800403029E-3</c:v>
                </c:pt>
                <c:pt idx="192" formatCode="General">
                  <c:v>2.4329453622777822E-3</c:v>
                </c:pt>
                <c:pt idx="193" formatCode="General">
                  <c:v>-1.1820349939107919E-2</c:v>
                </c:pt>
                <c:pt idx="194" formatCode="General">
                  <c:v>2.1989614233091119E-3</c:v>
                </c:pt>
                <c:pt idx="195" formatCode="General">
                  <c:v>4.2078971355218606E-3</c:v>
                </c:pt>
                <c:pt idx="196" formatCode="General">
                  <c:v>-8.3146894543242224E-3</c:v>
                </c:pt>
                <c:pt idx="197" formatCode="General">
                  <c:v>1.8926836644069234E-3</c:v>
                </c:pt>
                <c:pt idx="198" formatCode="General">
                  <c:v>8.3275718081626284E-4</c:v>
                </c:pt>
                <c:pt idx="199" formatCode="General">
                  <c:v>-1.1222078721036192E-2</c:v>
                </c:pt>
                <c:pt idx="200" formatCode="General">
                  <c:v>4.2560729739904799E-3</c:v>
                </c:pt>
                <c:pt idx="201" formatCode="General">
                  <c:v>6.0625584539794972E-3</c:v>
                </c:pt>
                <c:pt idx="202" formatCode="General">
                  <c:v>1.1337198644370486E-2</c:v>
                </c:pt>
                <c:pt idx="203" formatCode="General">
                  <c:v>1.1649393177382806E-2</c:v>
                </c:pt>
                <c:pt idx="204" formatCode="General">
                  <c:v>-1.4504209553333199E-2</c:v>
                </c:pt>
                <c:pt idx="205" formatCode="General">
                  <c:v>-9.9301034976918799E-3</c:v>
                </c:pt>
                <c:pt idx="206" formatCode="General">
                  <c:v>5.9467640194596303E-3</c:v>
                </c:pt>
                <c:pt idx="207" formatCode="General">
                  <c:v>5.6692165333906775E-3</c:v>
                </c:pt>
                <c:pt idx="208" formatCode="General">
                  <c:v>5.7490828885752975E-3</c:v>
                </c:pt>
                <c:pt idx="209" formatCode="General">
                  <c:v>4.1351031865498641E-2</c:v>
                </c:pt>
                <c:pt idx="210" formatCode="General">
                  <c:v>8.5110735661844388E-3</c:v>
                </c:pt>
                <c:pt idx="211" formatCode="General">
                  <c:v>1.2512085499561955E-2</c:v>
                </c:pt>
                <c:pt idx="212" formatCode="General">
                  <c:v>1.1155349877315108E-2</c:v>
                </c:pt>
                <c:pt idx="213" formatCode="General">
                  <c:v>7.5371722364892275E-3</c:v>
                </c:pt>
                <c:pt idx="214" formatCode="General">
                  <c:v>-2.9510595656663517E-3</c:v>
                </c:pt>
                <c:pt idx="215" formatCode="General">
                  <c:v>7.7331655324222957E-3</c:v>
                </c:pt>
                <c:pt idx="216" formatCode="General">
                  <c:v>-7.5516283254135393E-3</c:v>
                </c:pt>
                <c:pt idx="217" formatCode="General">
                  <c:v>-2.3095867274594848E-3</c:v>
                </c:pt>
                <c:pt idx="218" formatCode="General">
                  <c:v>-4.5357518632557362E-3</c:v>
                </c:pt>
                <c:pt idx="219" formatCode="General">
                  <c:v>1.0728944898763643E-3</c:v>
                </c:pt>
                <c:pt idx="220" formatCode="General">
                  <c:v>2.2973813584132235E-2</c:v>
                </c:pt>
                <c:pt idx="221" formatCode="General">
                  <c:v>-2.2892930712884726E-2</c:v>
                </c:pt>
                <c:pt idx="222" formatCode="General">
                  <c:v>8.5779369339966955E-3</c:v>
                </c:pt>
                <c:pt idx="223" formatCode="General">
                  <c:v>-1.6188710353566772E-2</c:v>
                </c:pt>
                <c:pt idx="224" formatCode="General">
                  <c:v>-5.2365124520414343E-3</c:v>
                </c:pt>
                <c:pt idx="225" formatCode="General">
                  <c:v>1.1341792619253785E-2</c:v>
                </c:pt>
                <c:pt idx="226" formatCode="General">
                  <c:v>9.7154536546631095E-4</c:v>
                </c:pt>
                <c:pt idx="227" formatCode="General">
                  <c:v>-1.0138829373300696E-2</c:v>
                </c:pt>
                <c:pt idx="228" formatCode="General">
                  <c:v>-7.6550932948300258E-3</c:v>
                </c:pt>
                <c:pt idx="229" formatCode="General">
                  <c:v>7.3911310328928399E-3</c:v>
                </c:pt>
                <c:pt idx="230" formatCode="General">
                  <c:v>-7.3817167207849569E-3</c:v>
                </c:pt>
                <c:pt idx="231" formatCode="General">
                  <c:v>2.5879256400356174E-3</c:v>
                </c:pt>
                <c:pt idx="232" formatCode="General">
                  <c:v>7.1338060940636988E-4</c:v>
                </c:pt>
                <c:pt idx="233" formatCode="General">
                  <c:v>-5.770891327860378E-3</c:v>
                </c:pt>
                <c:pt idx="234" formatCode="General">
                  <c:v>2.1259342768911883E-2</c:v>
                </c:pt>
                <c:pt idx="235" formatCode="General">
                  <c:v>8.0424823987987754E-3</c:v>
                </c:pt>
                <c:pt idx="236" formatCode="General">
                  <c:v>-2.1204253416262798E-2</c:v>
                </c:pt>
                <c:pt idx="237" formatCode="General">
                  <c:v>2.5267324531283086E-3</c:v>
                </c:pt>
                <c:pt idx="238" formatCode="General">
                  <c:v>-6.0598866695904495E-3</c:v>
                </c:pt>
                <c:pt idx="239" formatCode="General">
                  <c:v>8.7269403652824196E-3</c:v>
                </c:pt>
                <c:pt idx="240" formatCode="General">
                  <c:v>-7.7621141880172334E-3</c:v>
                </c:pt>
                <c:pt idx="241" formatCode="General">
                  <c:v>-9.2020297906603632E-4</c:v>
                </c:pt>
                <c:pt idx="242" formatCode="General">
                  <c:v>5.1768437149770901E-3</c:v>
                </c:pt>
                <c:pt idx="243" formatCode="General">
                  <c:v>8.9665421781810195E-3</c:v>
                </c:pt>
                <c:pt idx="244" formatCode="General">
                  <c:v>-1.2392910283685573E-2</c:v>
                </c:pt>
                <c:pt idx="245" formatCode="General">
                  <c:v>-3.5534278142564791E-3</c:v>
                </c:pt>
                <c:pt idx="246" formatCode="General">
                  <c:v>-4.3904913500291002E-3</c:v>
                </c:pt>
                <c:pt idx="247" formatCode="General">
                  <c:v>-6.3081371950149566E-3</c:v>
                </c:pt>
                <c:pt idx="248" formatCode="General">
                  <c:v>1.8866950773888582E-2</c:v>
                </c:pt>
                <c:pt idx="249" formatCode="General">
                  <c:v>4.9861947356177119E-3</c:v>
                </c:pt>
              </c:numCache>
            </c:numRef>
          </c:xVal>
          <c:yVal>
            <c:numRef>
              <c:f>'2.STYLIZED FACTS'!$P$6:$P$255</c:f>
              <c:numCache>
                <c:formatCode>0.0000</c:formatCode>
                <c:ptCount val="250"/>
                <c:pt idx="0">
                  <c:v>-1.2113657639155101E-3</c:v>
                </c:pt>
                <c:pt idx="1">
                  <c:v>6.6707917430471964E-3</c:v>
                </c:pt>
                <c:pt idx="2" formatCode="General">
                  <c:v>1.6065486617628962E-2</c:v>
                </c:pt>
                <c:pt idx="3" formatCode="General">
                  <c:v>-2.4548761294726756E-3</c:v>
                </c:pt>
                <c:pt idx="4" formatCode="General">
                  <c:v>-2.0112502237132545E-3</c:v>
                </c:pt>
                <c:pt idx="5" formatCode="General">
                  <c:v>1.5334302622674396E-2</c:v>
                </c:pt>
                <c:pt idx="6" formatCode="General">
                  <c:v>8.8748844487809755E-3</c:v>
                </c:pt>
                <c:pt idx="7" formatCode="General">
                  <c:v>-4.8215906453202137E-3</c:v>
                </c:pt>
                <c:pt idx="8" formatCode="General">
                  <c:v>5.5124296395039872E-3</c:v>
                </c:pt>
                <c:pt idx="9" formatCode="General">
                  <c:v>-4.2904899245061814E-3</c:v>
                </c:pt>
                <c:pt idx="10" formatCode="General">
                  <c:v>-4.2128306139583025E-3</c:v>
                </c:pt>
                <c:pt idx="11" formatCode="General">
                  <c:v>2.5967417712656309E-3</c:v>
                </c:pt>
                <c:pt idx="12" formatCode="General">
                  <c:v>-1.9171552133154184E-2</c:v>
                </c:pt>
                <c:pt idx="13" formatCode="General">
                  <c:v>-2.0470411829203214E-2</c:v>
                </c:pt>
                <c:pt idx="14" formatCode="General">
                  <c:v>-6.4772079169447584E-3</c:v>
                </c:pt>
                <c:pt idx="15" formatCode="General">
                  <c:v>-9.7974154406534671E-3</c:v>
                </c:pt>
                <c:pt idx="16" formatCode="General">
                  <c:v>3.6193332840726675E-3</c:v>
                </c:pt>
                <c:pt idx="17" formatCode="General">
                  <c:v>-8.7524506038356795E-3</c:v>
                </c:pt>
                <c:pt idx="18" formatCode="General">
                  <c:v>-1.4251166520256224E-2</c:v>
                </c:pt>
                <c:pt idx="19" formatCode="General">
                  <c:v>1.6633480164295882E-2</c:v>
                </c:pt>
                <c:pt idx="20" formatCode="General">
                  <c:v>-2.3279526462302333E-3</c:v>
                </c:pt>
                <c:pt idx="21" formatCode="General">
                  <c:v>9.3726235716231547E-4</c:v>
                </c:pt>
                <c:pt idx="22" formatCode="General">
                  <c:v>-1.3635751621641814E-2</c:v>
                </c:pt>
                <c:pt idx="23" formatCode="General">
                  <c:v>-5.5921391318446883E-3</c:v>
                </c:pt>
                <c:pt idx="24" formatCode="General">
                  <c:v>1.3854201179323263E-3</c:v>
                </c:pt>
                <c:pt idx="25" formatCode="General">
                  <c:v>-1.1016357826425731E-2</c:v>
                </c:pt>
                <c:pt idx="26" formatCode="General">
                  <c:v>4.3343886599564773E-3</c:v>
                </c:pt>
                <c:pt idx="27" formatCode="General">
                  <c:v>-5.9637653469286865E-3</c:v>
                </c:pt>
                <c:pt idx="28" formatCode="General">
                  <c:v>-2.7659885362656092E-3</c:v>
                </c:pt>
                <c:pt idx="29" formatCode="General">
                  <c:v>-5.4750569563483563E-3</c:v>
                </c:pt>
                <c:pt idx="30" formatCode="General">
                  <c:v>1.8407343631838935E-2</c:v>
                </c:pt>
                <c:pt idx="31" formatCode="General">
                  <c:v>8.7750087806441539E-5</c:v>
                </c:pt>
                <c:pt idx="32" formatCode="General">
                  <c:v>-9.3562805766086825E-3</c:v>
                </c:pt>
                <c:pt idx="33" formatCode="General">
                  <c:v>9.0814585452372431E-3</c:v>
                </c:pt>
                <c:pt idx="34" formatCode="General">
                  <c:v>-1.3189794377500771E-2</c:v>
                </c:pt>
                <c:pt idx="35" formatCode="General">
                  <c:v>2.5898212119692798E-3</c:v>
                </c:pt>
                <c:pt idx="36" formatCode="General">
                  <c:v>-1.8806258881128822E-2</c:v>
                </c:pt>
                <c:pt idx="37" formatCode="General">
                  <c:v>-1.5574917471076215E-2</c:v>
                </c:pt>
                <c:pt idx="38" formatCode="General">
                  <c:v>2.4878125762513E-3</c:v>
                </c:pt>
                <c:pt idx="39" formatCode="General">
                  <c:v>7.5532940637161585E-3</c:v>
                </c:pt>
                <c:pt idx="40" formatCode="General">
                  <c:v>2.1145723363076522E-3</c:v>
                </c:pt>
                <c:pt idx="41" formatCode="General">
                  <c:v>-8.4768128441018993E-4</c:v>
                </c:pt>
                <c:pt idx="42" formatCode="General">
                  <c:v>-2.7581407103905642E-3</c:v>
                </c:pt>
                <c:pt idx="43" formatCode="General">
                  <c:v>-1.4851304136611461E-2</c:v>
                </c:pt>
                <c:pt idx="44" formatCode="General">
                  <c:v>-7.683127431506823E-3</c:v>
                </c:pt>
                <c:pt idx="45" formatCode="General">
                  <c:v>-4.3656826068705946E-3</c:v>
                </c:pt>
                <c:pt idx="46" formatCode="General">
                  <c:v>1.0511055683539985E-2</c:v>
                </c:pt>
                <c:pt idx="47" formatCode="General">
                  <c:v>3.8205554190330077E-3</c:v>
                </c:pt>
                <c:pt idx="48" formatCode="General">
                  <c:v>-1.6681933197953237E-2</c:v>
                </c:pt>
                <c:pt idx="49" formatCode="General">
                  <c:v>4.0394348524568028E-3</c:v>
                </c:pt>
                <c:pt idx="50" formatCode="General">
                  <c:v>-3.4328481905995306E-3</c:v>
                </c:pt>
                <c:pt idx="51" formatCode="General">
                  <c:v>-6.3454123510951772E-3</c:v>
                </c:pt>
                <c:pt idx="52" formatCode="General">
                  <c:v>6.7446710168615137E-3</c:v>
                </c:pt>
                <c:pt idx="53" formatCode="General">
                  <c:v>1.0476356326837036E-2</c:v>
                </c:pt>
                <c:pt idx="54" formatCode="General">
                  <c:v>1.0563192393945127E-2</c:v>
                </c:pt>
                <c:pt idx="55" formatCode="General">
                  <c:v>-8.6289840852801277E-3</c:v>
                </c:pt>
                <c:pt idx="56" formatCode="General">
                  <c:v>-2.8929542546789915E-3</c:v>
                </c:pt>
                <c:pt idx="57" formatCode="General">
                  <c:v>3.5960394652092033E-3</c:v>
                </c:pt>
                <c:pt idx="58" formatCode="General">
                  <c:v>1.0092626843755111E-2</c:v>
                </c:pt>
                <c:pt idx="59" formatCode="General">
                  <c:v>-5.0517287015175672E-3</c:v>
                </c:pt>
                <c:pt idx="60" formatCode="General">
                  <c:v>-1.6564715140296429E-3</c:v>
                </c:pt>
                <c:pt idx="61" formatCode="General">
                  <c:v>-1.0795267239449648E-2</c:v>
                </c:pt>
                <c:pt idx="62" formatCode="General">
                  <c:v>-1.2444999511498685E-2</c:v>
                </c:pt>
                <c:pt idx="63" formatCode="General">
                  <c:v>8.9746060145755296E-3</c:v>
                </c:pt>
                <c:pt idx="64" formatCode="General">
                  <c:v>1.4946502341013758E-2</c:v>
                </c:pt>
                <c:pt idx="65" formatCode="General">
                  <c:v>-5.8389634955059472E-4</c:v>
                </c:pt>
                <c:pt idx="66" formatCode="General">
                  <c:v>1.0343198855054246E-2</c:v>
                </c:pt>
                <c:pt idx="67" formatCode="General">
                  <c:v>4.1242304592966844E-3</c:v>
                </c:pt>
                <c:pt idx="68" formatCode="General">
                  <c:v>-6.1194363860255256E-3</c:v>
                </c:pt>
                <c:pt idx="69" formatCode="General">
                  <c:v>4.0606441288001905E-3</c:v>
                </c:pt>
                <c:pt idx="70" formatCode="General">
                  <c:v>1.5445853980873777E-2</c:v>
                </c:pt>
                <c:pt idx="71" formatCode="General">
                  <c:v>-1.7442874629951025E-4</c:v>
                </c:pt>
                <c:pt idx="72" formatCode="General">
                  <c:v>1.5712590896733079E-2</c:v>
                </c:pt>
                <c:pt idx="73" formatCode="General">
                  <c:v>-2.9469996815207466E-2</c:v>
                </c:pt>
                <c:pt idx="74" formatCode="General">
                  <c:v>1.1151498195056108E-2</c:v>
                </c:pt>
                <c:pt idx="75" formatCode="General">
                  <c:v>1.2211845116262402E-3</c:v>
                </c:pt>
                <c:pt idx="76" formatCode="General">
                  <c:v>-2.5101233496032725E-3</c:v>
                </c:pt>
                <c:pt idx="77" formatCode="General">
                  <c:v>1.2014854452613818E-3</c:v>
                </c:pt>
                <c:pt idx="78" formatCode="General">
                  <c:v>-1.8955832778474114E-2</c:v>
                </c:pt>
                <c:pt idx="79" formatCode="General">
                  <c:v>-2.4118481615718499E-3</c:v>
                </c:pt>
                <c:pt idx="80" formatCode="General">
                  <c:v>3.7166431063246361E-3</c:v>
                </c:pt>
                <c:pt idx="81" formatCode="General">
                  <c:v>1.5530909074699869E-2</c:v>
                </c:pt>
                <c:pt idx="82" formatCode="General">
                  <c:v>-5.5963470604531978E-3</c:v>
                </c:pt>
                <c:pt idx="83" formatCode="General">
                  <c:v>-7.6156549220539856E-3</c:v>
                </c:pt>
                <c:pt idx="84" formatCode="General">
                  <c:v>-5.1642019311587337E-3</c:v>
                </c:pt>
                <c:pt idx="85" formatCode="General">
                  <c:v>9.2171641973083675E-3</c:v>
                </c:pt>
                <c:pt idx="86" formatCode="General">
                  <c:v>3.7032218796640938E-3</c:v>
                </c:pt>
                <c:pt idx="87" formatCode="General">
                  <c:v>-5.2343263201731025E-3</c:v>
                </c:pt>
                <c:pt idx="88" formatCode="General">
                  <c:v>5.6819826799638026E-3</c:v>
                </c:pt>
                <c:pt idx="89" formatCode="General">
                  <c:v>1.2609322099685217E-3</c:v>
                </c:pt>
                <c:pt idx="90" formatCode="General">
                  <c:v>9.7575368809928315E-3</c:v>
                </c:pt>
                <c:pt idx="91" formatCode="General">
                  <c:v>-7.2143446011480343E-3</c:v>
                </c:pt>
                <c:pt idx="92" formatCode="General">
                  <c:v>-3.0782994864755513E-3</c:v>
                </c:pt>
                <c:pt idx="93" formatCode="General">
                  <c:v>-3.5484565478974043E-3</c:v>
                </c:pt>
                <c:pt idx="94" formatCode="General">
                  <c:v>-1.4524548662615353E-2</c:v>
                </c:pt>
                <c:pt idx="95" formatCode="General">
                  <c:v>3.6557896181593878E-3</c:v>
                </c:pt>
                <c:pt idx="96" formatCode="General">
                  <c:v>2.9352530738064706E-3</c:v>
                </c:pt>
                <c:pt idx="97" formatCode="General">
                  <c:v>3.1758940288275392E-4</c:v>
                </c:pt>
                <c:pt idx="98" formatCode="General">
                  <c:v>-1.8805393851591336E-3</c:v>
                </c:pt>
                <c:pt idx="99" formatCode="General">
                  <c:v>-1.3522654709236045E-2</c:v>
                </c:pt>
                <c:pt idx="100" formatCode="General">
                  <c:v>-4.2597739168118275E-3</c:v>
                </c:pt>
                <c:pt idx="101" formatCode="General">
                  <c:v>-3.1870911806153677E-3</c:v>
                </c:pt>
                <c:pt idx="102" formatCode="General">
                  <c:v>-7.6366518517654268E-3</c:v>
                </c:pt>
                <c:pt idx="103" formatCode="General">
                  <c:v>-1.4816968508920779E-3</c:v>
                </c:pt>
                <c:pt idx="104" formatCode="General">
                  <c:v>4.1368001936994891E-3</c:v>
                </c:pt>
                <c:pt idx="105" formatCode="General">
                  <c:v>1.8517186974588037E-2</c:v>
                </c:pt>
                <c:pt idx="106" formatCode="General">
                  <c:v>2.2459056846994264E-3</c:v>
                </c:pt>
                <c:pt idx="107" formatCode="General">
                  <c:v>2.8498318582551702E-3</c:v>
                </c:pt>
                <c:pt idx="108" formatCode="General">
                  <c:v>-4.7360269968887991E-4</c:v>
                </c:pt>
                <c:pt idx="109" formatCode="General">
                  <c:v>-1.7414767249476184E-2</c:v>
                </c:pt>
                <c:pt idx="110" formatCode="General">
                  <c:v>-4.426966127051383E-5</c:v>
                </c:pt>
                <c:pt idx="111" formatCode="General">
                  <c:v>8.5553299020116216E-4</c:v>
                </c:pt>
                <c:pt idx="112" formatCode="General">
                  <c:v>2.3033526640812738E-2</c:v>
                </c:pt>
                <c:pt idx="113" formatCode="General">
                  <c:v>-2.1828715821635221E-3</c:v>
                </c:pt>
                <c:pt idx="114" formatCode="General">
                  <c:v>3.2749219250035968E-3</c:v>
                </c:pt>
                <c:pt idx="115" formatCode="General">
                  <c:v>-5.9971813265716448E-5</c:v>
                </c:pt>
                <c:pt idx="116" formatCode="General">
                  <c:v>1.2508700586033395E-2</c:v>
                </c:pt>
                <c:pt idx="117" formatCode="General">
                  <c:v>-3.6606252165093972E-2</c:v>
                </c:pt>
                <c:pt idx="118" formatCode="General">
                  <c:v>1.0214898094171075E-2</c:v>
                </c:pt>
                <c:pt idx="119" formatCode="General">
                  <c:v>-2.3835530640385981E-2</c:v>
                </c:pt>
                <c:pt idx="120" formatCode="General">
                  <c:v>1.1507447235039049E-2</c:v>
                </c:pt>
                <c:pt idx="121" formatCode="General">
                  <c:v>-4.4243130391294481E-2</c:v>
                </c:pt>
                <c:pt idx="122" formatCode="General">
                  <c:v>1.9656652549551592E-2</c:v>
                </c:pt>
                <c:pt idx="123" formatCode="General">
                  <c:v>-1.9955287583719825E-2</c:v>
                </c:pt>
                <c:pt idx="124" formatCode="General">
                  <c:v>2.730571944294622E-2</c:v>
                </c:pt>
                <c:pt idx="125" formatCode="General">
                  <c:v>-3.2251292197015106E-2</c:v>
                </c:pt>
                <c:pt idx="126" formatCode="General">
                  <c:v>-6.0629526588263389E-3</c:v>
                </c:pt>
                <c:pt idx="127" formatCode="General">
                  <c:v>1.2904167546731403E-3</c:v>
                </c:pt>
                <c:pt idx="128" formatCode="General">
                  <c:v>-4.5681634958848793E-3</c:v>
                </c:pt>
                <c:pt idx="129" formatCode="General">
                  <c:v>-1.5928011929515543E-2</c:v>
                </c:pt>
                <c:pt idx="130" formatCode="General">
                  <c:v>1.015892302001534E-3</c:v>
                </c:pt>
                <c:pt idx="131" formatCode="General">
                  <c:v>-9.9700023085799415E-3</c:v>
                </c:pt>
                <c:pt idx="132" formatCode="General">
                  <c:v>5.1332977773813331E-3</c:v>
                </c:pt>
                <c:pt idx="133" formatCode="General">
                  <c:v>-9.0315511850697257E-3</c:v>
                </c:pt>
                <c:pt idx="134" formatCode="General">
                  <c:v>1.6084779384150327E-2</c:v>
                </c:pt>
                <c:pt idx="135" formatCode="General">
                  <c:v>-8.4447868357665351E-3</c:v>
                </c:pt>
                <c:pt idx="136" formatCode="General">
                  <c:v>-3.0163517560566969E-3</c:v>
                </c:pt>
                <c:pt idx="137" formatCode="General">
                  <c:v>8.4197785514903232E-3</c:v>
                </c:pt>
                <c:pt idx="138" formatCode="General">
                  <c:v>-1.2981594129055977E-2</c:v>
                </c:pt>
                <c:pt idx="139" formatCode="General">
                  <c:v>2.7942688732837777E-3</c:v>
                </c:pt>
                <c:pt idx="140" formatCode="General">
                  <c:v>1.3702071856800254E-2</c:v>
                </c:pt>
                <c:pt idx="141" formatCode="General">
                  <c:v>-1.7515600523816316E-2</c:v>
                </c:pt>
                <c:pt idx="142" formatCode="General">
                  <c:v>2.3623423158293739E-3</c:v>
                </c:pt>
                <c:pt idx="143" formatCode="General">
                  <c:v>2.9029463961687293E-3</c:v>
                </c:pt>
                <c:pt idx="144" formatCode="General">
                  <c:v>7.7931994314828406E-3</c:v>
                </c:pt>
                <c:pt idx="145" formatCode="General">
                  <c:v>-1.3201105988443892E-2</c:v>
                </c:pt>
                <c:pt idx="146" formatCode="General">
                  <c:v>-1.3822363950257089E-2</c:v>
                </c:pt>
                <c:pt idx="147" formatCode="General">
                  <c:v>6.3102846376867569E-3</c:v>
                </c:pt>
                <c:pt idx="148" formatCode="General">
                  <c:v>3.1997341907610043E-3</c:v>
                </c:pt>
                <c:pt idx="149" formatCode="General">
                  <c:v>2.8365367951750844E-3</c:v>
                </c:pt>
                <c:pt idx="150" formatCode="General">
                  <c:v>3.6961856275960067E-3</c:v>
                </c:pt>
                <c:pt idx="151" formatCode="General">
                  <c:v>-6.8192522778982778E-3</c:v>
                </c:pt>
                <c:pt idx="152" formatCode="General">
                  <c:v>2.5812109836164374E-3</c:v>
                </c:pt>
                <c:pt idx="153" formatCode="General">
                  <c:v>3.1661016930860314E-3</c:v>
                </c:pt>
                <c:pt idx="154" formatCode="General">
                  <c:v>-7.1162197669271295E-3</c:v>
                </c:pt>
                <c:pt idx="155" formatCode="General">
                  <c:v>1.9665399871236153E-2</c:v>
                </c:pt>
                <c:pt idx="156" formatCode="General">
                  <c:v>5.9337145637730513E-3</c:v>
                </c:pt>
                <c:pt idx="157" formatCode="General">
                  <c:v>-1.2143211157002474E-2</c:v>
                </c:pt>
                <c:pt idx="158" formatCode="General">
                  <c:v>7.4404194366253593E-3</c:v>
                </c:pt>
                <c:pt idx="159" formatCode="General">
                  <c:v>-1.0005212590329307E-2</c:v>
                </c:pt>
                <c:pt idx="160" formatCode="General">
                  <c:v>8.7610172370882478E-3</c:v>
                </c:pt>
                <c:pt idx="161" formatCode="General">
                  <c:v>1.2933761188865233E-2</c:v>
                </c:pt>
                <c:pt idx="162" formatCode="General">
                  <c:v>-8.4920110384975305E-3</c:v>
                </c:pt>
                <c:pt idx="163" formatCode="General">
                  <c:v>1.023044981412048E-2</c:v>
                </c:pt>
                <c:pt idx="164" formatCode="General">
                  <c:v>4.8615039558976515E-3</c:v>
                </c:pt>
                <c:pt idx="165" formatCode="General">
                  <c:v>8.8634452394520304E-3</c:v>
                </c:pt>
                <c:pt idx="166" formatCode="General">
                  <c:v>2.0269635440790891E-2</c:v>
                </c:pt>
                <c:pt idx="167" formatCode="General">
                  <c:v>-2.7166877695450325E-3</c:v>
                </c:pt>
                <c:pt idx="168" formatCode="General">
                  <c:v>-7.0016110826944802E-3</c:v>
                </c:pt>
                <c:pt idx="169" formatCode="General">
                  <c:v>-8.7004675955682457E-3</c:v>
                </c:pt>
                <c:pt idx="170" formatCode="General">
                  <c:v>-8.3326488017001123E-3</c:v>
                </c:pt>
                <c:pt idx="171" formatCode="General">
                  <c:v>-5.3771891585404285E-4</c:v>
                </c:pt>
                <c:pt idx="172" formatCode="General">
                  <c:v>3.5689868357062136E-3</c:v>
                </c:pt>
                <c:pt idx="173" formatCode="General">
                  <c:v>2.9188495799730967E-3</c:v>
                </c:pt>
                <c:pt idx="174" formatCode="General">
                  <c:v>8.7876670220886927E-3</c:v>
                </c:pt>
                <c:pt idx="175" formatCode="General">
                  <c:v>3.9912193704844801E-4</c:v>
                </c:pt>
                <c:pt idx="176" formatCode="General">
                  <c:v>1.4444864903524457E-2</c:v>
                </c:pt>
                <c:pt idx="177" formatCode="General">
                  <c:v>-2.7342805469443105E-3</c:v>
                </c:pt>
                <c:pt idx="178" formatCode="General">
                  <c:v>2.6601048383635115E-2</c:v>
                </c:pt>
                <c:pt idx="179" formatCode="General">
                  <c:v>8.3670803066559097E-3</c:v>
                </c:pt>
                <c:pt idx="180" formatCode="General">
                  <c:v>-8.9088268120969538E-3</c:v>
                </c:pt>
                <c:pt idx="181" formatCode="General">
                  <c:v>-1.0752605375643568E-2</c:v>
                </c:pt>
                <c:pt idx="182" formatCode="General">
                  <c:v>5.6532182272813853E-3</c:v>
                </c:pt>
                <c:pt idx="183" formatCode="General">
                  <c:v>-2.081790297793948E-3</c:v>
                </c:pt>
                <c:pt idx="184" formatCode="General">
                  <c:v>7.5358083382229902E-3</c:v>
                </c:pt>
                <c:pt idx="185" formatCode="General">
                  <c:v>5.2921805565481293E-3</c:v>
                </c:pt>
                <c:pt idx="186" formatCode="General">
                  <c:v>-4.826249008080478E-4</c:v>
                </c:pt>
                <c:pt idx="187" formatCode="General">
                  <c:v>-7.7785413297187063E-3</c:v>
                </c:pt>
                <c:pt idx="188" formatCode="General">
                  <c:v>-1.6177610551065667E-2</c:v>
                </c:pt>
                <c:pt idx="189" formatCode="General">
                  <c:v>-5.0197813926275339E-3</c:v>
                </c:pt>
                <c:pt idx="190" formatCode="General">
                  <c:v>8.5899744800403029E-3</c:v>
                </c:pt>
                <c:pt idx="191" formatCode="General">
                  <c:v>2.4329453622777822E-3</c:v>
                </c:pt>
                <c:pt idx="192" formatCode="General">
                  <c:v>-1.1820349939107919E-2</c:v>
                </c:pt>
                <c:pt idx="193" formatCode="General">
                  <c:v>2.1989614233091119E-3</c:v>
                </c:pt>
                <c:pt idx="194" formatCode="General">
                  <c:v>4.2078971355218606E-3</c:v>
                </c:pt>
                <c:pt idx="195" formatCode="General">
                  <c:v>-8.3146894543242224E-3</c:v>
                </c:pt>
                <c:pt idx="196" formatCode="General">
                  <c:v>1.8926836644069234E-3</c:v>
                </c:pt>
                <c:pt idx="197" formatCode="General">
                  <c:v>8.3275718081626284E-4</c:v>
                </c:pt>
                <c:pt idx="198" formatCode="General">
                  <c:v>-1.1222078721036192E-2</c:v>
                </c:pt>
                <c:pt idx="199" formatCode="General">
                  <c:v>4.2560729739904799E-3</c:v>
                </c:pt>
                <c:pt idx="200" formatCode="General">
                  <c:v>6.0625584539794972E-3</c:v>
                </c:pt>
                <c:pt idx="201" formatCode="General">
                  <c:v>1.1337198644370486E-2</c:v>
                </c:pt>
                <c:pt idx="202" formatCode="General">
                  <c:v>1.1649393177382806E-2</c:v>
                </c:pt>
                <c:pt idx="203" formatCode="General">
                  <c:v>-1.4504209553333199E-2</c:v>
                </c:pt>
                <c:pt idx="204" formatCode="General">
                  <c:v>-9.9301034976918799E-3</c:v>
                </c:pt>
                <c:pt idx="205" formatCode="General">
                  <c:v>5.9467640194596303E-3</c:v>
                </c:pt>
                <c:pt idx="206" formatCode="General">
                  <c:v>5.6692165333906775E-3</c:v>
                </c:pt>
                <c:pt idx="207" formatCode="General">
                  <c:v>5.7490828885752975E-3</c:v>
                </c:pt>
                <c:pt idx="208" formatCode="General">
                  <c:v>4.1351031865498641E-2</c:v>
                </c:pt>
                <c:pt idx="209" formatCode="General">
                  <c:v>8.5110735661844388E-3</c:v>
                </c:pt>
                <c:pt idx="210" formatCode="General">
                  <c:v>1.2512085499561955E-2</c:v>
                </c:pt>
                <c:pt idx="211" formatCode="General">
                  <c:v>1.1155349877315108E-2</c:v>
                </c:pt>
                <c:pt idx="212" formatCode="General">
                  <c:v>7.5371722364892275E-3</c:v>
                </c:pt>
                <c:pt idx="213" formatCode="General">
                  <c:v>-2.9510595656663517E-3</c:v>
                </c:pt>
                <c:pt idx="214" formatCode="General">
                  <c:v>7.7331655324222957E-3</c:v>
                </c:pt>
                <c:pt idx="215" formatCode="General">
                  <c:v>-7.5516283254135393E-3</c:v>
                </c:pt>
                <c:pt idx="216" formatCode="General">
                  <c:v>-2.3095867274594848E-3</c:v>
                </c:pt>
                <c:pt idx="217" formatCode="General">
                  <c:v>-4.5357518632557362E-3</c:v>
                </c:pt>
                <c:pt idx="218" formatCode="General">
                  <c:v>1.0728944898763643E-3</c:v>
                </c:pt>
                <c:pt idx="219" formatCode="General">
                  <c:v>2.2973813584132235E-2</c:v>
                </c:pt>
                <c:pt idx="220" formatCode="General">
                  <c:v>-2.2892930712884726E-2</c:v>
                </c:pt>
                <c:pt idx="221" formatCode="General">
                  <c:v>8.5779369339966955E-3</c:v>
                </c:pt>
                <c:pt idx="222" formatCode="General">
                  <c:v>-1.6188710353566772E-2</c:v>
                </c:pt>
                <c:pt idx="223" formatCode="General">
                  <c:v>-5.2365124520414343E-3</c:v>
                </c:pt>
                <c:pt idx="224" formatCode="General">
                  <c:v>1.1341792619253785E-2</c:v>
                </c:pt>
                <c:pt idx="225" formatCode="General">
                  <c:v>9.7154536546631095E-4</c:v>
                </c:pt>
                <c:pt idx="226" formatCode="General">
                  <c:v>-1.0138829373300696E-2</c:v>
                </c:pt>
                <c:pt idx="227" formatCode="General">
                  <c:v>-7.6550932948300258E-3</c:v>
                </c:pt>
                <c:pt idx="228" formatCode="General">
                  <c:v>7.3911310328928399E-3</c:v>
                </c:pt>
                <c:pt idx="229" formatCode="General">
                  <c:v>-7.3817167207849569E-3</c:v>
                </c:pt>
                <c:pt idx="230" formatCode="General">
                  <c:v>2.5879256400356174E-3</c:v>
                </c:pt>
                <c:pt idx="231" formatCode="General">
                  <c:v>7.1338060940636988E-4</c:v>
                </c:pt>
                <c:pt idx="232" formatCode="General">
                  <c:v>-5.770891327860378E-3</c:v>
                </c:pt>
                <c:pt idx="233" formatCode="General">
                  <c:v>2.1259342768911883E-2</c:v>
                </c:pt>
                <c:pt idx="234" formatCode="General">
                  <c:v>8.0424823987987754E-3</c:v>
                </c:pt>
                <c:pt idx="235" formatCode="General">
                  <c:v>-2.1204253416262798E-2</c:v>
                </c:pt>
                <c:pt idx="236" formatCode="General">
                  <c:v>2.5267324531283086E-3</c:v>
                </c:pt>
                <c:pt idx="237" formatCode="General">
                  <c:v>-6.0598866695904495E-3</c:v>
                </c:pt>
                <c:pt idx="238" formatCode="General">
                  <c:v>8.7269403652824196E-3</c:v>
                </c:pt>
                <c:pt idx="239" formatCode="General">
                  <c:v>-7.7621141880172334E-3</c:v>
                </c:pt>
                <c:pt idx="240" formatCode="General">
                  <c:v>-9.2020297906603632E-4</c:v>
                </c:pt>
                <c:pt idx="241" formatCode="General">
                  <c:v>5.1768437149770901E-3</c:v>
                </c:pt>
                <c:pt idx="242" formatCode="General">
                  <c:v>8.9665421781810195E-3</c:v>
                </c:pt>
                <c:pt idx="243" formatCode="General">
                  <c:v>-1.2392910283685573E-2</c:v>
                </c:pt>
                <c:pt idx="244" formatCode="General">
                  <c:v>-3.5534278142564791E-3</c:v>
                </c:pt>
                <c:pt idx="245" formatCode="General">
                  <c:v>-4.3904913500291002E-3</c:v>
                </c:pt>
                <c:pt idx="246" formatCode="General">
                  <c:v>-6.3081371950149566E-3</c:v>
                </c:pt>
                <c:pt idx="247" formatCode="General">
                  <c:v>1.8866950773888582E-2</c:v>
                </c:pt>
                <c:pt idx="248" formatCode="General">
                  <c:v>4.9861947356177119E-3</c:v>
                </c:pt>
                <c:pt idx="249" formatCode="General">
                  <c:v>-1.2639391917641945E-2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CE4A-8CE9-ECE4270D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097919"/>
        <c:axId val="2102095679"/>
      </c:scatterChart>
      <c:valAx>
        <c:axId val="21020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r(t−1)  —  Yesterday's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95679"/>
        <c:crosses val="autoZero"/>
        <c:crossBetween val="midCat"/>
      </c:valAx>
      <c:valAx>
        <c:axId val="21020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r(t)  —  Today's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9791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Fact 2 — Fat Tails (Leptokurtosis)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Returns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'2.STYLIZED FACTS'!$K$5:$K$24</c:f>
              <c:strCache>
                <c:ptCount val="20"/>
                <c:pt idx="0">
                  <c:v>-4.75%</c:v>
                </c:pt>
                <c:pt idx="1">
                  <c:v>-4.25%</c:v>
                </c:pt>
                <c:pt idx="2">
                  <c:v>-3.75%</c:v>
                </c:pt>
                <c:pt idx="3">
                  <c:v>-3.25%</c:v>
                </c:pt>
                <c:pt idx="4">
                  <c:v>-2.75%</c:v>
                </c:pt>
                <c:pt idx="5">
                  <c:v>-2.25%</c:v>
                </c:pt>
                <c:pt idx="6">
                  <c:v>-1.75%</c:v>
                </c:pt>
                <c:pt idx="7">
                  <c:v>-1.25%</c:v>
                </c:pt>
                <c:pt idx="8">
                  <c:v>-0.75%</c:v>
                </c:pt>
                <c:pt idx="9">
                  <c:v>-0.25%</c:v>
                </c:pt>
                <c:pt idx="10">
                  <c:v>0.25%</c:v>
                </c:pt>
                <c:pt idx="11">
                  <c:v>0.75%</c:v>
                </c:pt>
                <c:pt idx="12">
                  <c:v>1.25%</c:v>
                </c:pt>
                <c:pt idx="13">
                  <c:v>1.75%</c:v>
                </c:pt>
                <c:pt idx="14">
                  <c:v>2.25%</c:v>
                </c:pt>
                <c:pt idx="15">
                  <c:v>2.75%</c:v>
                </c:pt>
                <c:pt idx="16">
                  <c:v>3.25%</c:v>
                </c:pt>
                <c:pt idx="17">
                  <c:v>3.75%</c:v>
                </c:pt>
                <c:pt idx="18">
                  <c:v>4.25%</c:v>
                </c:pt>
                <c:pt idx="19">
                  <c:v>4.75%</c:v>
                </c:pt>
              </c:strCache>
            </c:strRef>
          </c:cat>
          <c:val>
            <c:numRef>
              <c:f>'2.STYLIZED FACTS'!$L$5:$L$24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11</c:v>
                </c:pt>
                <c:pt idx="7">
                  <c:v>21</c:v>
                </c:pt>
                <c:pt idx="8">
                  <c:v>41</c:v>
                </c:pt>
                <c:pt idx="9">
                  <c:v>41</c:v>
                </c:pt>
                <c:pt idx="10">
                  <c:v>53</c:v>
                </c:pt>
                <c:pt idx="11">
                  <c:v>38</c:v>
                </c:pt>
                <c:pt idx="12">
                  <c:v>19</c:v>
                </c:pt>
                <c:pt idx="13">
                  <c:v>12</c:v>
                </c:pt>
                <c:pt idx="14">
                  <c:v>4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8-6944-AB3F-CBB4A75D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472959"/>
        <c:axId val="2102474751"/>
      </c:barChart>
      <c:lineChart>
        <c:grouping val="standard"/>
        <c:varyColors val="0"/>
        <c:ser>
          <c:idx val="1"/>
          <c:order val="1"/>
          <c:tx>
            <c:v>Normal Distribution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'2.STYLIZED FACTS'!$K$5:$K$24</c:f>
              <c:strCache>
                <c:ptCount val="20"/>
                <c:pt idx="0">
                  <c:v>-4.75%</c:v>
                </c:pt>
                <c:pt idx="1">
                  <c:v>-4.25%</c:v>
                </c:pt>
                <c:pt idx="2">
                  <c:v>-3.75%</c:v>
                </c:pt>
                <c:pt idx="3">
                  <c:v>-3.25%</c:v>
                </c:pt>
                <c:pt idx="4">
                  <c:v>-2.75%</c:v>
                </c:pt>
                <c:pt idx="5">
                  <c:v>-2.25%</c:v>
                </c:pt>
                <c:pt idx="6">
                  <c:v>-1.75%</c:v>
                </c:pt>
                <c:pt idx="7">
                  <c:v>-1.25%</c:v>
                </c:pt>
                <c:pt idx="8">
                  <c:v>-0.75%</c:v>
                </c:pt>
                <c:pt idx="9">
                  <c:v>-0.25%</c:v>
                </c:pt>
                <c:pt idx="10">
                  <c:v>0.25%</c:v>
                </c:pt>
                <c:pt idx="11">
                  <c:v>0.75%</c:v>
                </c:pt>
                <c:pt idx="12">
                  <c:v>1.25%</c:v>
                </c:pt>
                <c:pt idx="13">
                  <c:v>1.75%</c:v>
                </c:pt>
                <c:pt idx="14">
                  <c:v>2.25%</c:v>
                </c:pt>
                <c:pt idx="15">
                  <c:v>2.75%</c:v>
                </c:pt>
                <c:pt idx="16">
                  <c:v>3.25%</c:v>
                </c:pt>
                <c:pt idx="17">
                  <c:v>3.75%</c:v>
                </c:pt>
                <c:pt idx="18">
                  <c:v>4.25%</c:v>
                </c:pt>
                <c:pt idx="19">
                  <c:v>4.75%</c:v>
                </c:pt>
              </c:strCache>
            </c:strRef>
          </c:cat>
          <c:val>
            <c:numRef>
              <c:f>'2.STYLIZED FACTS'!$M$5:$M$24</c:f>
              <c:numCache>
                <c:formatCode>General</c:formatCode>
                <c:ptCount val="20"/>
                <c:pt idx="0">
                  <c:v>6.0340321411381957E-3</c:v>
                </c:pt>
                <c:pt idx="1">
                  <c:v>3.2267216988014609E-2</c:v>
                </c:pt>
                <c:pt idx="2">
                  <c:v>0.16178829512648313</c:v>
                </c:pt>
                <c:pt idx="3">
                  <c:v>0.66223845024489025</c:v>
                </c:pt>
                <c:pt idx="4">
                  <c:v>2.2131014742510353</c:v>
                </c:pt>
                <c:pt idx="5">
                  <c:v>6.0386762177340128</c:v>
                </c:pt>
                <c:pt idx="6">
                  <c:v>13.454414629225246</c:v>
                </c:pt>
                <c:pt idx="7">
                  <c:v>24.479045506404049</c:v>
                </c:pt>
                <c:pt idx="8">
                  <c:v>36.370483553474408</c:v>
                </c:pt>
                <c:pt idx="9">
                  <c:v>44.130709297467526</c:v>
                </c:pt>
                <c:pt idx="10">
                  <c:v>43.729654984770477</c:v>
                </c:pt>
                <c:pt idx="11">
                  <c:v>35.387853194455523</c:v>
                </c:pt>
                <c:pt idx="12">
                  <c:v>23.386690229017955</c:v>
                </c:pt>
                <c:pt idx="13">
                  <c:v>12.621379434705313</c:v>
                </c:pt>
                <c:pt idx="14">
                  <c:v>5.5622378670838524</c:v>
                </c:pt>
                <c:pt idx="15">
                  <c:v>2.001577981088162</c:v>
                </c:pt>
                <c:pt idx="16">
                  <c:v>0.58809310372535328</c:v>
                </c:pt>
                <c:pt idx="17">
                  <c:v>0.14107044552697645</c:v>
                </c:pt>
                <c:pt idx="18">
                  <c:v>2.7625114968374942E-2</c:v>
                </c:pt>
                <c:pt idx="19">
                  <c:v>5.0589716012162667E-3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8-6944-AB3F-CBB4A75D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472959"/>
        <c:axId val="2102474751"/>
      </c:lineChart>
      <c:catAx>
        <c:axId val="21024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4751"/>
        <c:crosses val="autoZero"/>
        <c:auto val="1"/>
        <c:lblAlgn val="ctr"/>
        <c:lblOffset val="100"/>
        <c:noMultiLvlLbl val="0"/>
      </c:catAx>
      <c:valAx>
        <c:axId val="21024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472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 Walk  —  Non-Stationary (Drifts)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Random Walk</c:v>
          </c:tx>
          <c:spPr>
            <a:ln w="25400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'3.STATIONARITY'!$D$4:$D$63</c:f>
              <c:numCache>
                <c:formatCode>0.00000</c:formatCode>
                <c:ptCount val="60"/>
                <c:pt idx="0">
                  <c:v>-0.38383894349836289</c:v>
                </c:pt>
                <c:pt idx="1">
                  <c:v>-0.96873086331278657</c:v>
                </c:pt>
                <c:pt idx="2">
                  <c:v>-2.1819417020001328</c:v>
                </c:pt>
                <c:pt idx="3">
                  <c:v>-3.681795513229539</c:v>
                </c:pt>
                <c:pt idx="4">
                  <c:v>-2.6008448811966307</c:v>
                </c:pt>
                <c:pt idx="5">
                  <c:v>-3.9650605899327944</c:v>
                </c:pt>
                <c:pt idx="6">
                  <c:v>-3.6809872110720638</c:v>
                </c:pt>
                <c:pt idx="7">
                  <c:v>-2.9668380770990259</c:v>
                </c:pt>
                <c:pt idx="8">
                  <c:v>-2.4403624611669068</c:v>
                </c:pt>
                <c:pt idx="9">
                  <c:v>-2.0516930076536806</c:v>
                </c:pt>
                <c:pt idx="10">
                  <c:v>-1.6022108725434823</c:v>
                </c:pt>
                <c:pt idx="11">
                  <c:v>1.6215468987796591</c:v>
                </c:pt>
                <c:pt idx="12">
                  <c:v>1.2189322336872976</c:v>
                </c:pt>
                <c:pt idx="13">
                  <c:v>2.7326329564530729</c:v>
                </c:pt>
                <c:pt idx="14">
                  <c:v>2.8342248256362486</c:v>
                </c:pt>
                <c:pt idx="15">
                  <c:v>3.8483855596628573</c:v>
                </c:pt>
                <c:pt idx="16">
                  <c:v>3.4894902237412184</c:v>
                </c:pt>
                <c:pt idx="17">
                  <c:v>2.1647608991937366</c:v>
                </c:pt>
                <c:pt idx="18">
                  <c:v>2.2660716443823703</c:v>
                </c:pt>
                <c:pt idx="19">
                  <c:v>3.7590510525411585</c:v>
                </c:pt>
                <c:pt idx="20">
                  <c:v>4.7078663915089001</c:v>
                </c:pt>
                <c:pt idx="21">
                  <c:v>2.993422314348817</c:v>
                </c:pt>
                <c:pt idx="22">
                  <c:v>2.6458206227205356</c:v>
                </c:pt>
                <c:pt idx="23">
                  <c:v>3.1975410770873176</c:v>
                </c:pt>
                <c:pt idx="24">
                  <c:v>2.8954456894739558</c:v>
                </c:pt>
                <c:pt idx="25">
                  <c:v>2.8237821968231316</c:v>
                </c:pt>
                <c:pt idx="26">
                  <c:v>3.0889135615826433</c:v>
                </c:pt>
                <c:pt idx="27">
                  <c:v>4.3473888256251518</c:v>
                </c:pt>
                <c:pt idx="28">
                  <c:v>3.2003284319254415</c:v>
                </c:pt>
                <c:pt idx="29">
                  <c:v>3.7426145098350019</c:v>
                </c:pt>
                <c:pt idx="30">
                  <c:v>3.7291038516794148</c:v>
                </c:pt>
                <c:pt idx="31">
                  <c:v>3.0773432572473562</c:v>
                </c:pt>
                <c:pt idx="32">
                  <c:v>4.5778922663015686</c:v>
                </c:pt>
                <c:pt idx="33">
                  <c:v>4.3664388322540972</c:v>
                </c:pt>
                <c:pt idx="34">
                  <c:v>4.691504739449269</c:v>
                </c:pt>
                <c:pt idx="35">
                  <c:v>4.365209825741692</c:v>
                </c:pt>
                <c:pt idx="36">
                  <c:v>5.5223553697193895</c:v>
                </c:pt>
                <c:pt idx="37">
                  <c:v>4.9886032229407116</c:v>
                </c:pt>
                <c:pt idx="38">
                  <c:v>4.937660410526501</c:v>
                </c:pt>
                <c:pt idx="39">
                  <c:v>5.1172694194097437</c:v>
                </c:pt>
                <c:pt idx="40">
                  <c:v>5.3960376806594361</c:v>
                </c:pt>
                <c:pt idx="41">
                  <c:v>4.8818687467571067</c:v>
                </c:pt>
                <c:pt idx="42">
                  <c:v>3.7328112676697804</c:v>
                </c:pt>
                <c:pt idx="43">
                  <c:v>4.2170474698626261</c:v>
                </c:pt>
                <c:pt idx="44">
                  <c:v>1.7197520829777528</c:v>
                </c:pt>
                <c:pt idx="45">
                  <c:v>2.3998916735894085</c:v>
                </c:pt>
                <c:pt idx="46">
                  <c:v>4.5197459609332373</c:v>
                </c:pt>
                <c:pt idx="47">
                  <c:v>5.3940118801708712</c:v>
                </c:pt>
                <c:pt idx="48">
                  <c:v>6.8165390377528574</c:v>
                </c:pt>
                <c:pt idx="49">
                  <c:v>8.1439018261123</c:v>
                </c:pt>
                <c:pt idx="50">
                  <c:v>7.6553246485471833</c:v>
                </c:pt>
                <c:pt idx="51">
                  <c:v>6.5971039259599902</c:v>
                </c:pt>
                <c:pt idx="52">
                  <c:v>5.7582118392350861</c:v>
                </c:pt>
                <c:pt idx="53">
                  <c:v>5.2388467318108969</c:v>
                </c:pt>
                <c:pt idx="54">
                  <c:v>6.4169787768570421</c:v>
                </c:pt>
                <c:pt idx="55">
                  <c:v>4.2049357242899692</c:v>
                </c:pt>
                <c:pt idx="56">
                  <c:v>3.9551780360049453</c:v>
                </c:pt>
                <c:pt idx="57">
                  <c:v>3.512172902522646</c:v>
                </c:pt>
                <c:pt idx="58">
                  <c:v>3.2217363282838702</c:v>
                </c:pt>
                <c:pt idx="59">
                  <c:v>3.0152612841795223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0-9F49-8A9B-5831BD65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634943"/>
        <c:axId val="2099636735"/>
      </c:lineChart>
      <c:catAx>
        <c:axId val="209963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36735"/>
        <c:crosses val="autoZero"/>
        <c:auto val="1"/>
        <c:lblAlgn val="ctr"/>
        <c:lblOffset val="100"/>
        <c:noMultiLvlLbl val="0"/>
      </c:catAx>
      <c:valAx>
        <c:axId val="209963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3494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Stationary Series: Shocks vs. S&amp;P Returns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Random Shock</c:v>
          </c:tx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'3.STATIONARITY'!$C$4:$C$63</c:f>
              <c:numCache>
                <c:formatCode>0.00000</c:formatCode>
                <c:ptCount val="60"/>
                <c:pt idx="0">
                  <c:v>-0.38383894349836289</c:v>
                </c:pt>
                <c:pt idx="1">
                  <c:v>-0.58489191981442368</c:v>
                </c:pt>
                <c:pt idx="2">
                  <c:v>-1.2132108386873461</c:v>
                </c:pt>
                <c:pt idx="3">
                  <c:v>-1.4998538112294064</c:v>
                </c:pt>
                <c:pt idx="4">
                  <c:v>1.0809506320329085</c:v>
                </c:pt>
                <c:pt idx="5">
                  <c:v>-1.3642157087361635</c:v>
                </c:pt>
                <c:pt idx="6">
                  <c:v>0.28407337886073064</c:v>
                </c:pt>
                <c:pt idx="7">
                  <c:v>0.71414913397303781</c:v>
                </c:pt>
                <c:pt idx="8">
                  <c:v>0.52647561593211889</c:v>
                </c:pt>
                <c:pt idx="9">
                  <c:v>0.38866945351322602</c:v>
                </c:pt>
                <c:pt idx="10">
                  <c:v>0.4494821351101983</c:v>
                </c:pt>
                <c:pt idx="11">
                  <c:v>3.2237577713231413</c:v>
                </c:pt>
                <c:pt idx="12">
                  <c:v>-0.40261466509236155</c:v>
                </c:pt>
                <c:pt idx="13">
                  <c:v>1.5137007227657751</c:v>
                </c:pt>
                <c:pt idx="14">
                  <c:v>0.10159186918317552</c:v>
                </c:pt>
                <c:pt idx="15">
                  <c:v>1.0141607340266088</c:v>
                </c:pt>
                <c:pt idx="16">
                  <c:v>-0.35889533592163914</c:v>
                </c:pt>
                <c:pt idx="17">
                  <c:v>-1.324729324547482</c:v>
                </c:pt>
                <c:pt idx="18">
                  <c:v>0.10131074518863357</c:v>
                </c:pt>
                <c:pt idx="19">
                  <c:v>1.4929794081587879</c:v>
                </c:pt>
                <c:pt idx="20">
                  <c:v>0.94881533896774195</c:v>
                </c:pt>
                <c:pt idx="21">
                  <c:v>-1.7144440771600833</c:v>
                </c:pt>
                <c:pt idx="22">
                  <c:v>-0.34760169162828142</c:v>
                </c:pt>
                <c:pt idx="23">
                  <c:v>0.55172045436678208</c:v>
                </c:pt>
                <c:pt idx="24">
                  <c:v>-0.3020953876133618</c:v>
                </c:pt>
                <c:pt idx="25">
                  <c:v>-7.1663492650824098E-2</c:v>
                </c:pt>
                <c:pt idx="26">
                  <c:v>0.2651313647595116</c:v>
                </c:pt>
                <c:pt idx="27">
                  <c:v>1.2584752640425085</c:v>
                </c:pt>
                <c:pt idx="28">
                  <c:v>-1.1470603936997104</c:v>
                </c:pt>
                <c:pt idx="29">
                  <c:v>0.54228607790956029</c:v>
                </c:pt>
                <c:pt idx="30">
                  <c:v>-1.3510658155586859E-2</c:v>
                </c:pt>
                <c:pt idx="31">
                  <c:v>-0.65176059443205858</c:v>
                </c:pt>
                <c:pt idx="32">
                  <c:v>1.5005490090542122</c:v>
                </c:pt>
                <c:pt idx="33">
                  <c:v>-0.21145343404747105</c:v>
                </c:pt>
                <c:pt idx="34">
                  <c:v>0.32506590719517142</c:v>
                </c:pt>
                <c:pt idx="35">
                  <c:v>-0.32629491370757735</c:v>
                </c:pt>
                <c:pt idx="36">
                  <c:v>1.1571455439776972</c:v>
                </c:pt>
                <c:pt idx="37">
                  <c:v>-0.53375214677867777</c:v>
                </c:pt>
                <c:pt idx="38">
                  <c:v>-5.0942812414210961E-2</c:v>
                </c:pt>
                <c:pt idx="39">
                  <c:v>0.17960900888324285</c:v>
                </c:pt>
                <c:pt idx="40">
                  <c:v>0.27876826124969289</c:v>
                </c:pt>
                <c:pt idx="41">
                  <c:v>-0.51416893390232909</c:v>
                </c:pt>
                <c:pt idx="42">
                  <c:v>-1.149057479087326</c:v>
                </c:pt>
                <c:pt idx="43">
                  <c:v>0.48423620219284585</c:v>
                </c:pt>
                <c:pt idx="44">
                  <c:v>-2.4972953868848733</c:v>
                </c:pt>
                <c:pt idx="45">
                  <c:v>0.68013959061165585</c:v>
                </c:pt>
                <c:pt idx="46">
                  <c:v>2.1198542873438289</c:v>
                </c:pt>
                <c:pt idx="47">
                  <c:v>0.87426591923763364</c:v>
                </c:pt>
                <c:pt idx="48">
                  <c:v>1.4225271575819864</c:v>
                </c:pt>
                <c:pt idx="49">
                  <c:v>1.3273627883594419</c:v>
                </c:pt>
                <c:pt idx="50">
                  <c:v>-0.48857717756511654</c:v>
                </c:pt>
                <c:pt idx="51">
                  <c:v>-1.0582207225871936</c:v>
                </c:pt>
                <c:pt idx="52">
                  <c:v>-0.83889208672490401</c:v>
                </c:pt>
                <c:pt idx="53">
                  <c:v>-0.51936510742418884</c:v>
                </c:pt>
                <c:pt idx="54">
                  <c:v>1.1781320450461452</c:v>
                </c:pt>
                <c:pt idx="55">
                  <c:v>-2.2120430525670729</c:v>
                </c:pt>
                <c:pt idx="56">
                  <c:v>-0.24975768828502368</c:v>
                </c:pt>
                <c:pt idx="57">
                  <c:v>-0.44300513348229931</c:v>
                </c:pt>
                <c:pt idx="58">
                  <c:v>-0.29043657423877561</c:v>
                </c:pt>
                <c:pt idx="59">
                  <c:v>-0.20647504410434772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B-4244-9178-D2996B8E3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920063"/>
        <c:axId val="2106293119"/>
      </c:lineChart>
      <c:lineChart>
        <c:grouping val="standard"/>
        <c:varyColors val="0"/>
        <c:ser>
          <c:idx val="1"/>
          <c:order val="1"/>
          <c:tx>
            <c:v>S&amp;P 500 Return</c:v>
          </c:tx>
          <c:spPr>
            <a:ln w="28575" cap="rnd">
              <a:solidFill>
                <a:srgbClr val="2E8B57"/>
              </a:solidFill>
              <a:prstDash val="solid"/>
              <a:round/>
            </a:ln>
          </c:spPr>
          <c:marker>
            <c:symbol val="none"/>
          </c:marker>
          <c:cat>
            <c:numRef>
              <c:f>'3.STATIONARITY'!$B$5:$B$63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cat>
          <c:val>
            <c:numRef>
              <c:f>'3.STATIONARITY'!$F$5:$F$63</c:f>
              <c:numCache>
                <c:formatCode>0.000%</c:formatCode>
                <c:ptCount val="59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B-4244-9178-D2996B8E3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483455"/>
        <c:axId val="2108043967"/>
      </c:lineChart>
      <c:catAx>
        <c:axId val="210992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293119"/>
        <c:crosses val="autoZero"/>
        <c:auto val="1"/>
        <c:lblAlgn val="ctr"/>
        <c:lblOffset val="100"/>
        <c:noMultiLvlLbl val="0"/>
      </c:catAx>
      <c:valAx>
        <c:axId val="210629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20063"/>
        <c:crosses val="autoZero"/>
        <c:crossBetween val="between"/>
      </c:valAx>
      <c:catAx>
        <c:axId val="2099483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043967"/>
        <c:crosses val="autoZero"/>
        <c:auto val="1"/>
        <c:lblAlgn val="ctr"/>
        <c:lblOffset val="100"/>
        <c:noMultiLvlLbl val="0"/>
      </c:catAx>
      <c:valAx>
        <c:axId val="21080439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483455"/>
        <c:crosses val="max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strike="noStrike" kern="1200" spc="0" baseline="0">
                <a:solidFill>
                  <a:srgbClr val="2F4F4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Real-World Example: S&amp;P Price Level vs. Log-Returns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S&amp;P Cum. Price Level</c:v>
          </c:tx>
          <c:spPr>
            <a:ln w="28575" cap="rnd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'3.STATIONARITY'!$G$5:$G$63</c:f>
              <c:numCache>
                <c:formatCode>0.00</c:formatCode>
                <c:ptCount val="59"/>
                <c:pt idx="0">
                  <c:v>100.59022222222222</c:v>
                </c:pt>
                <c:pt idx="1">
                  <c:v>100.46844444444443</c:v>
                </c:pt>
                <c:pt idx="2">
                  <c:v>101.14088888888888</c:v>
                </c:pt>
                <c:pt idx="3">
                  <c:v>102.77888888888889</c:v>
                </c:pt>
                <c:pt idx="4">
                  <c:v>102.52688888888888</c:v>
                </c:pt>
                <c:pt idx="5">
                  <c:v>102.32088888888887</c:v>
                </c:pt>
                <c:pt idx="6">
                  <c:v>103.90199999999999</c:v>
                </c:pt>
                <c:pt idx="7">
                  <c:v>104.82822222222222</c:v>
                </c:pt>
                <c:pt idx="8">
                  <c:v>104.32399999999998</c:v>
                </c:pt>
                <c:pt idx="9">
                  <c:v>104.90066666666664</c:v>
                </c:pt>
                <c:pt idx="10">
                  <c:v>104.45155555555553</c:v>
                </c:pt>
                <c:pt idx="11">
                  <c:v>104.01244444444444</c:v>
                </c:pt>
                <c:pt idx="12">
                  <c:v>104.28288888888888</c:v>
                </c:pt>
                <c:pt idx="13">
                  <c:v>102.30266666666665</c:v>
                </c:pt>
                <c:pt idx="14">
                  <c:v>100.22977777777777</c:v>
                </c:pt>
                <c:pt idx="15">
                  <c:v>99.582666666666654</c:v>
                </c:pt>
                <c:pt idx="16">
                  <c:v>98.61177777777776</c:v>
                </c:pt>
                <c:pt idx="17">
                  <c:v>98.969333333333324</c:v>
                </c:pt>
                <c:pt idx="18">
                  <c:v>98.106888888888889</c:v>
                </c:pt>
                <c:pt idx="19">
                  <c:v>96.718666666666664</c:v>
                </c:pt>
                <c:pt idx="20">
                  <c:v>98.340888888888884</c:v>
                </c:pt>
                <c:pt idx="21">
                  <c:v>98.112222222222215</c:v>
                </c:pt>
                <c:pt idx="22">
                  <c:v>98.204222222222214</c:v>
                </c:pt>
                <c:pt idx="23">
                  <c:v>96.87422222222223</c:v>
                </c:pt>
                <c:pt idx="24">
                  <c:v>96.333999999999989</c:v>
                </c:pt>
                <c:pt idx="25">
                  <c:v>96.467555555555563</c:v>
                </c:pt>
                <c:pt idx="26">
                  <c:v>95.410666666666671</c:v>
                </c:pt>
                <c:pt idx="27">
                  <c:v>95.825111111111127</c:v>
                </c:pt>
                <c:pt idx="28">
                  <c:v>95.25533333333334</c:v>
                </c:pt>
                <c:pt idx="29">
                  <c:v>94.992222222222225</c:v>
                </c:pt>
                <c:pt idx="30">
                  <c:v>94.473555555555578</c:v>
                </c:pt>
                <c:pt idx="31">
                  <c:v>96.228666666666683</c:v>
                </c:pt>
                <c:pt idx="32">
                  <c:v>96.237111111111133</c:v>
                </c:pt>
                <c:pt idx="33">
                  <c:v>95.340888888888912</c:v>
                </c:pt>
                <c:pt idx="34">
                  <c:v>96.210666666666668</c:v>
                </c:pt>
                <c:pt idx="35">
                  <c:v>94.950000000000017</c:v>
                </c:pt>
                <c:pt idx="36">
                  <c:v>95.196222222222232</c:v>
                </c:pt>
                <c:pt idx="37">
                  <c:v>93.422666666666686</c:v>
                </c:pt>
                <c:pt idx="38">
                  <c:v>91.978888888888903</c:v>
                </c:pt>
                <c:pt idx="39">
                  <c:v>92.208000000000013</c:v>
                </c:pt>
                <c:pt idx="40">
                  <c:v>92.907111111111135</c:v>
                </c:pt>
                <c:pt idx="41">
                  <c:v>93.103777777777822</c:v>
                </c:pt>
                <c:pt idx="42">
                  <c:v>93.024888888888938</c:v>
                </c:pt>
                <c:pt idx="43">
                  <c:v>92.768666666666718</c:v>
                </c:pt>
                <c:pt idx="44">
                  <c:v>91.401111111111163</c:v>
                </c:pt>
                <c:pt idx="45">
                  <c:v>90.701555555555615</c:v>
                </c:pt>
                <c:pt idx="46">
                  <c:v>90.306444444444494</c:v>
                </c:pt>
                <c:pt idx="47">
                  <c:v>91.260666666666708</c:v>
                </c:pt>
                <c:pt idx="48">
                  <c:v>91.610000000000056</c:v>
                </c:pt>
                <c:pt idx="49">
                  <c:v>90.094444444444505</c:v>
                </c:pt>
                <c:pt idx="50">
                  <c:v>90.459111111111156</c:v>
                </c:pt>
                <c:pt idx="51">
                  <c:v>90.149111111111154</c:v>
                </c:pt>
                <c:pt idx="52">
                  <c:v>89.57888888888894</c:v>
                </c:pt>
                <c:pt idx="53">
                  <c:v>90.185111111111155</c:v>
                </c:pt>
                <c:pt idx="54">
                  <c:v>91.134888888888923</c:v>
                </c:pt>
                <c:pt idx="55">
                  <c:v>92.102666666666707</c:v>
                </c:pt>
                <c:pt idx="56">
                  <c:v>91.31133333333338</c:v>
                </c:pt>
                <c:pt idx="57">
                  <c:v>91.047555555555604</c:v>
                </c:pt>
                <c:pt idx="58">
                  <c:v>91.375555555555579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4-1344-8D23-D370AB30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3347391"/>
        <c:axId val="2103350527"/>
      </c:lineChart>
      <c:lineChart>
        <c:grouping val="standard"/>
        <c:varyColors val="0"/>
        <c:ser>
          <c:idx val="1"/>
          <c:order val="1"/>
          <c:tx>
            <c:v>S&amp;P Log-Returns</c:v>
          </c:tx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cat>
            <c:numRef>
              <c:f>'3.STATIONARITY'!$B$5:$B$63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cat>
          <c:val>
            <c:numRef>
              <c:f>'3.STATIONARITY'!$F$5:$F$63</c:f>
              <c:numCache>
                <c:formatCode>0.000%</c:formatCode>
                <c:ptCount val="59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4-1344-8D23-D370AB30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637631"/>
        <c:axId val="2102119487"/>
      </c:lineChart>
      <c:catAx>
        <c:axId val="210334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50527"/>
        <c:crosses val="autoZero"/>
        <c:auto val="1"/>
        <c:lblAlgn val="ctr"/>
        <c:lblOffset val="100"/>
        <c:noMultiLvlLbl val="0"/>
      </c:catAx>
      <c:valAx>
        <c:axId val="21033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Level (Idx=100)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47391"/>
        <c:crosses val="autoZero"/>
        <c:crossBetween val="between"/>
      </c:valAx>
      <c:catAx>
        <c:axId val="210663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119487"/>
        <c:crosses val="autoZero"/>
        <c:auto val="1"/>
        <c:lblAlgn val="ctr"/>
        <c:lblOffset val="100"/>
        <c:noMultiLvlLbl val="0"/>
      </c:catAx>
      <c:valAx>
        <c:axId val="21021194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637631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ACF of Raw Returns — Near Zero (no predictability)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ACF — Raw Returns</c:v>
          </c:tx>
          <c:spPr>
            <a:solidFill>
              <a:srgbClr val="1B3A6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'4.AUTOCORRELATION'!$B$68:$B$77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'4.AUTOCORRELATION'!$C$68:$C$77</c:f>
              <c:numCache>
                <c:formatCode>0.00000</c:formatCode>
                <c:ptCount val="10"/>
                <c:pt idx="0">
                  <c:v>-0.16792778713769543</c:v>
                </c:pt>
                <c:pt idx="1">
                  <c:v>0.13936336045260889</c:v>
                </c:pt>
                <c:pt idx="2">
                  <c:v>-0.10804433148483041</c:v>
                </c:pt>
                <c:pt idx="3">
                  <c:v>7.2265681052584338E-2</c:v>
                </c:pt>
                <c:pt idx="4">
                  <c:v>-3.0267311182634576E-2</c:v>
                </c:pt>
                <c:pt idx="5">
                  <c:v>0.12281280800780889</c:v>
                </c:pt>
                <c:pt idx="6">
                  <c:v>-0.10100866940318076</c:v>
                </c:pt>
                <c:pt idx="7">
                  <c:v>0.12604095707381729</c:v>
                </c:pt>
                <c:pt idx="8">
                  <c:v>-8.1800826264330342E-2</c:v>
                </c:pt>
                <c:pt idx="9">
                  <c:v>4.7901802834763488E-2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F-9F48-BEA5-75CCDF96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26276"/>
        <c:axId val="22006429"/>
      </c:barChart>
      <c:catAx>
        <c:axId val="254262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006429"/>
        <c:crosses val="autoZero"/>
        <c:auto val="1"/>
        <c:lblAlgn val="ctr"/>
        <c:lblOffset val="100"/>
        <c:noMultiLvlLbl val="0"/>
      </c:catAx>
      <c:valAx>
        <c:axId val="22006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Autocorrelation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2627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ACF of SQUARED Returns — Clearly Positive (clustering!)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392B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'4.AUTOCORRELATION'!$D$68:$D$77</c:f>
              <c:numCache>
                <c:formatCode>0.00000</c:formatCode>
                <c:ptCount val="10"/>
                <c:pt idx="0">
                  <c:v>9.4382044294242934E-2</c:v>
                </c:pt>
                <c:pt idx="1">
                  <c:v>0.14222001780164381</c:v>
                </c:pt>
                <c:pt idx="2">
                  <c:v>8.9525856733940729E-2</c:v>
                </c:pt>
                <c:pt idx="3">
                  <c:v>0.28510245424827652</c:v>
                </c:pt>
                <c:pt idx="4">
                  <c:v>6.6794846359173446E-2</c:v>
                </c:pt>
                <c:pt idx="5">
                  <c:v>-5.9643576299825739E-3</c:v>
                </c:pt>
                <c:pt idx="6">
                  <c:v>2.4839160057368182E-2</c:v>
                </c:pt>
                <c:pt idx="7">
                  <c:v>6.057463613866676E-2</c:v>
                </c:pt>
                <c:pt idx="8">
                  <c:v>-5.1825928693805699E-3</c:v>
                </c:pt>
                <c:pt idx="9">
                  <c:v>-3.8893000859037047E-2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6-8B43-858D-EB390ED28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89459"/>
        <c:axId val="16770377"/>
      </c:barChart>
      <c:catAx>
        <c:axId val="929894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Lag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70377"/>
        <c:crosses val="autoZero"/>
        <c:auto val="1"/>
        <c:lblAlgn val="ctr"/>
        <c:lblOffset val="100"/>
        <c:noMultiLvlLbl val="0"/>
      </c:catAx>
      <c:valAx>
        <c:axId val="16770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Autocorrelation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98945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Simulated Paths: AR(1) vs MA(1) vs ARIMA(1,0,1)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AR(1)  [φ=0.7]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'5.ARIMA'!$C$4:$C$63</c:f>
              <c:numCache>
                <c:formatCode>0.00000</c:formatCode>
                <c:ptCount val="60"/>
                <c:pt idx="0">
                  <c:v>-0.34384148197351289</c:v>
                </c:pt>
                <c:pt idx="1">
                  <c:v>-1.5960561469449648</c:v>
                </c:pt>
                <c:pt idx="2">
                  <c:v>-2.6080109133007014</c:v>
                </c:pt>
                <c:pt idx="3">
                  <c:v>-2.9014963450936757</c:v>
                </c:pt>
                <c:pt idx="4">
                  <c:v>-2.520090712730382</c:v>
                </c:pt>
                <c:pt idx="5">
                  <c:v>-1.0154132093659982</c:v>
                </c:pt>
                <c:pt idx="6">
                  <c:v>-2.6808744990592435</c:v>
                </c:pt>
                <c:pt idx="7">
                  <c:v>-3.119955095967244</c:v>
                </c:pt>
                <c:pt idx="8">
                  <c:v>-2.6927823305260521</c:v>
                </c:pt>
                <c:pt idx="9">
                  <c:v>-2.458683648157217</c:v>
                </c:pt>
                <c:pt idx="10">
                  <c:v>-2.4690972180477697</c:v>
                </c:pt>
                <c:pt idx="11">
                  <c:v>-2.6885587466727032</c:v>
                </c:pt>
                <c:pt idx="12">
                  <c:v>-3.104826528492882</c:v>
                </c:pt>
                <c:pt idx="13">
                  <c:v>-3.7309627615664627</c:v>
                </c:pt>
                <c:pt idx="14">
                  <c:v>-1.9301564709644685</c:v>
                </c:pt>
                <c:pt idx="15">
                  <c:v>-0.58923247430827153</c:v>
                </c:pt>
                <c:pt idx="16">
                  <c:v>-0.1923854048343947</c:v>
                </c:pt>
                <c:pt idx="17">
                  <c:v>-0.44268420547520015</c:v>
                </c:pt>
                <c:pt idx="18">
                  <c:v>-1.1546104723726227</c:v>
                </c:pt>
                <c:pt idx="19">
                  <c:v>-0.93935488506181575</c:v>
                </c:pt>
                <c:pt idx="20">
                  <c:v>-0.8903435447884912</c:v>
                </c:pt>
                <c:pt idx="21">
                  <c:v>-0.14215011481041118</c:v>
                </c:pt>
                <c:pt idx="22">
                  <c:v>-3.7297531698270797E-2</c:v>
                </c:pt>
                <c:pt idx="23">
                  <c:v>0.55988602633426365</c:v>
                </c:pt>
                <c:pt idx="24">
                  <c:v>-0.67731000066549585</c:v>
                </c:pt>
                <c:pt idx="25">
                  <c:v>-3.2666632867348961</c:v>
                </c:pt>
                <c:pt idx="26">
                  <c:v>-2.9646030868508535</c:v>
                </c:pt>
                <c:pt idx="27">
                  <c:v>-3.6162986295412511</c:v>
                </c:pt>
                <c:pt idx="28">
                  <c:v>-3.4422123949309795</c:v>
                </c:pt>
                <c:pt idx="29">
                  <c:v>-2.2052566904467072</c:v>
                </c:pt>
                <c:pt idx="30">
                  <c:v>-0.49803887990855511</c:v>
                </c:pt>
                <c:pt idx="31">
                  <c:v>0.49286573730686567</c:v>
                </c:pt>
                <c:pt idx="32">
                  <c:v>-0.45917188696156613</c:v>
                </c:pt>
                <c:pt idx="33">
                  <c:v>0.75886471847805392</c:v>
                </c:pt>
                <c:pt idx="34">
                  <c:v>0.84071761251236654</c:v>
                </c:pt>
                <c:pt idx="35">
                  <c:v>0.71753778544647429</c:v>
                </c:pt>
                <c:pt idx="36">
                  <c:v>-1.2136122647363794</c:v>
                </c:pt>
                <c:pt idx="37">
                  <c:v>-1.1001013068025203</c:v>
                </c:pt>
                <c:pt idx="38">
                  <c:v>-1.646808531455596</c:v>
                </c:pt>
                <c:pt idx="39">
                  <c:v>-1.7547023907472517</c:v>
                </c:pt>
                <c:pt idx="40">
                  <c:v>-2.1235122179068089</c:v>
                </c:pt>
                <c:pt idx="41">
                  <c:v>-2.7717266892410302</c:v>
                </c:pt>
                <c:pt idx="42">
                  <c:v>-2.3759819615793165</c:v>
                </c:pt>
                <c:pt idx="43">
                  <c:v>-3.1085167476278945</c:v>
                </c:pt>
                <c:pt idx="44">
                  <c:v>-3.1958256663819222</c:v>
                </c:pt>
                <c:pt idx="45">
                  <c:v>-2.4794907576134464</c:v>
                </c:pt>
                <c:pt idx="46">
                  <c:v>-3.1545708358496456</c:v>
                </c:pt>
                <c:pt idx="47">
                  <c:v>-3.2042068618267239</c:v>
                </c:pt>
                <c:pt idx="48">
                  <c:v>-2.9915263881490248</c:v>
                </c:pt>
                <c:pt idx="49">
                  <c:v>-3.1604960528078818</c:v>
                </c:pt>
                <c:pt idx="50">
                  <c:v>-4.057404007610498</c:v>
                </c:pt>
                <c:pt idx="51">
                  <c:v>-3.925969676242798</c:v>
                </c:pt>
                <c:pt idx="52">
                  <c:v>-3.4823829047506485</c:v>
                </c:pt>
                <c:pt idx="53">
                  <c:v>-4.5436891474733789</c:v>
                </c:pt>
                <c:pt idx="54">
                  <c:v>-4.0986661820172525</c:v>
                </c:pt>
                <c:pt idx="55">
                  <c:v>-4.0453967950438718</c:v>
                </c:pt>
                <c:pt idx="56">
                  <c:v>-3.5630837523794709</c:v>
                </c:pt>
                <c:pt idx="57">
                  <c:v>-3.9781194676921285</c:v>
                </c:pt>
                <c:pt idx="58">
                  <c:v>-2.8222408665518759</c:v>
                </c:pt>
                <c:pt idx="59">
                  <c:v>-0.34447617323831237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8-3C4B-AC8B-A452CBB2489A}"/>
            </c:ext>
          </c:extLst>
        </c:ser>
        <c:ser>
          <c:idx val="1"/>
          <c:order val="1"/>
          <c:tx>
            <c:v>MA(1)  [θ=0.6]</c:v>
          </c:tx>
          <c:spPr>
            <a:ln w="28575" cap="rnd">
              <a:solidFill>
                <a:srgbClr val="1E6B3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'5.ARIMA'!$D$4:$D$63</c:f>
              <c:numCache>
                <c:formatCode>0.00000</c:formatCode>
                <c:ptCount val="60"/>
                <c:pt idx="0">
                  <c:v>-0.20850132289221171</c:v>
                </c:pt>
                <c:pt idx="1">
                  <c:v>-0.81309840680823142</c:v>
                </c:pt>
                <c:pt idx="2">
                  <c:v>0.30876877531706715</c:v>
                </c:pt>
                <c:pt idx="3">
                  <c:v>0.61738419004822398</c:v>
                </c:pt>
                <c:pt idx="4">
                  <c:v>-0.57982611132905448</c:v>
                </c:pt>
                <c:pt idx="5">
                  <c:v>-0.22768099947246104</c:v>
                </c:pt>
                <c:pt idx="6">
                  <c:v>-0.42288065167319289</c:v>
                </c:pt>
                <c:pt idx="7">
                  <c:v>-1.3213293676772988</c:v>
                </c:pt>
                <c:pt idx="8">
                  <c:v>-1.2866289099192387</c:v>
                </c:pt>
                <c:pt idx="9">
                  <c:v>-2.0983315990623455</c:v>
                </c:pt>
                <c:pt idx="10">
                  <c:v>-0.19202373470165635</c:v>
                </c:pt>
                <c:pt idx="11">
                  <c:v>-0.15282932209240385</c:v>
                </c:pt>
                <c:pt idx="12">
                  <c:v>-0.66031733377552204</c:v>
                </c:pt>
                <c:pt idx="13">
                  <c:v>-4.0904510089607327E-2</c:v>
                </c:pt>
                <c:pt idx="14">
                  <c:v>0.21319264488113543</c:v>
                </c:pt>
                <c:pt idx="15">
                  <c:v>0.23847845231740628</c:v>
                </c:pt>
                <c:pt idx="16">
                  <c:v>0.51097909420440801</c:v>
                </c:pt>
                <c:pt idx="17">
                  <c:v>0.72194793021928794</c:v>
                </c:pt>
                <c:pt idx="18">
                  <c:v>0.53769054430158225</c:v>
                </c:pt>
                <c:pt idx="19">
                  <c:v>-0.26141868852415756</c:v>
                </c:pt>
                <c:pt idx="20">
                  <c:v>-0.19252910877092072</c:v>
                </c:pt>
                <c:pt idx="21">
                  <c:v>0.10436858375366881</c:v>
                </c:pt>
                <c:pt idx="22">
                  <c:v>0.56228399424779729</c:v>
                </c:pt>
                <c:pt idx="23">
                  <c:v>-0.88451142045347186</c:v>
                </c:pt>
                <c:pt idx="24">
                  <c:v>0.78078352027957454</c:v>
                </c:pt>
                <c:pt idx="25">
                  <c:v>1.2725624828214102</c:v>
                </c:pt>
                <c:pt idx="26">
                  <c:v>1.894236597644447E-2</c:v>
                </c:pt>
                <c:pt idx="27">
                  <c:v>-0.26344612622568075</c:v>
                </c:pt>
                <c:pt idx="28">
                  <c:v>-1.0342662336961048</c:v>
                </c:pt>
                <c:pt idx="29">
                  <c:v>9.2945317840177788E-2</c:v>
                </c:pt>
                <c:pt idx="30">
                  <c:v>0.35142333221466171</c:v>
                </c:pt>
                <c:pt idx="31">
                  <c:v>0.13929210179336099</c:v>
                </c:pt>
                <c:pt idx="32">
                  <c:v>-0.75283439369136773</c:v>
                </c:pt>
                <c:pt idx="33">
                  <c:v>-0.62461526590879768</c:v>
                </c:pt>
                <c:pt idx="34">
                  <c:v>0.53541853417540364</c:v>
                </c:pt>
                <c:pt idx="35">
                  <c:v>1.421289211800713</c:v>
                </c:pt>
                <c:pt idx="36">
                  <c:v>0.62498788786364989</c:v>
                </c:pt>
                <c:pt idx="37">
                  <c:v>0.60513357922854982</c:v>
                </c:pt>
                <c:pt idx="38">
                  <c:v>-0.61885984186977727</c:v>
                </c:pt>
                <c:pt idx="39">
                  <c:v>-0.35486379345364621</c:v>
                </c:pt>
                <c:pt idx="40">
                  <c:v>1.1297494207438756</c:v>
                </c:pt>
                <c:pt idx="41">
                  <c:v>1.0463595870565103</c:v>
                </c:pt>
                <c:pt idx="42">
                  <c:v>0.43192213734448387</c:v>
                </c:pt>
                <c:pt idx="43">
                  <c:v>0.73285885761506364</c:v>
                </c:pt>
                <c:pt idx="44">
                  <c:v>-0.14374406117713034</c:v>
                </c:pt>
                <c:pt idx="45">
                  <c:v>0.66354336735573782</c:v>
                </c:pt>
                <c:pt idx="46">
                  <c:v>0.43988466559592437</c:v>
                </c:pt>
                <c:pt idx="47">
                  <c:v>0.41764173726818454</c:v>
                </c:pt>
                <c:pt idx="48">
                  <c:v>0.21089549700822074</c:v>
                </c:pt>
                <c:pt idx="49">
                  <c:v>0.10243308669111995</c:v>
                </c:pt>
                <c:pt idx="50">
                  <c:v>1.000308941405236</c:v>
                </c:pt>
                <c:pt idx="51">
                  <c:v>0.54822732692575127</c:v>
                </c:pt>
                <c:pt idx="52">
                  <c:v>1.2541992287208181</c:v>
                </c:pt>
                <c:pt idx="53">
                  <c:v>1.959281081210021</c:v>
                </c:pt>
                <c:pt idx="54">
                  <c:v>1.2403251869097676</c:v>
                </c:pt>
                <c:pt idx="55">
                  <c:v>-0.68786736510705748</c:v>
                </c:pt>
                <c:pt idx="56">
                  <c:v>-1.1960801497742026</c:v>
                </c:pt>
                <c:pt idx="57">
                  <c:v>1.4984755086529531</c:v>
                </c:pt>
                <c:pt idx="58">
                  <c:v>1.5746365506991433</c:v>
                </c:pt>
                <c:pt idx="59">
                  <c:v>0.54427726002673316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8-3C4B-AC8B-A452CBB2489A}"/>
            </c:ext>
          </c:extLst>
        </c:ser>
        <c:ser>
          <c:idx val="2"/>
          <c:order val="2"/>
          <c:tx>
            <c:v>ARIMA(1,0,1)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'5.ARIMA'!$H$4:$H$63</c:f>
              <c:numCache>
                <c:formatCode>0.00000</c:formatCode>
                <c:ptCount val="60"/>
                <c:pt idx="0">
                  <c:v>-0.20850132289221171</c:v>
                </c:pt>
                <c:pt idx="1">
                  <c:v>-1.0111746635558325</c:v>
                </c:pt>
                <c:pt idx="2">
                  <c:v>-0.65184715506097368</c:v>
                </c:pt>
                <c:pt idx="3">
                  <c:v>-1.8706072597010071E-3</c:v>
                </c:pt>
                <c:pt idx="4">
                  <c:v>-0.5816031882257704</c:v>
                </c:pt>
                <c:pt idx="5">
                  <c:v>-0.78020402828694291</c:v>
                </c:pt>
                <c:pt idx="6">
                  <c:v>-1.1640744785457886</c:v>
                </c:pt>
                <c:pt idx="7">
                  <c:v>-2.4272001222957984</c:v>
                </c:pt>
                <c:pt idx="8">
                  <c:v>-3.5924690261002472</c:v>
                </c:pt>
                <c:pt idx="9">
                  <c:v>-5.5111771738575799</c:v>
                </c:pt>
                <c:pt idx="10">
                  <c:v>-5.427642049866356</c:v>
                </c:pt>
                <c:pt idx="11">
                  <c:v>-5.3090892694654421</c:v>
                </c:pt>
                <c:pt idx="12">
                  <c:v>-5.7039521397676918</c:v>
                </c:pt>
                <c:pt idx="13">
                  <c:v>-5.459659042868914</c:v>
                </c:pt>
                <c:pt idx="14">
                  <c:v>-4.9734834458443329</c:v>
                </c:pt>
                <c:pt idx="15">
                  <c:v>-4.4863308212347093</c:v>
                </c:pt>
                <c:pt idx="16">
                  <c:v>-3.7510351859685658</c:v>
                </c:pt>
                <c:pt idx="17">
                  <c:v>-2.8415354964508492</c:v>
                </c:pt>
                <c:pt idx="18">
                  <c:v>-2.1617681773267248</c:v>
                </c:pt>
                <c:pt idx="19">
                  <c:v>-2.3150984569845461</c:v>
                </c:pt>
                <c:pt idx="20">
                  <c:v>-2.3918726429062391</c:v>
                </c:pt>
                <c:pt idx="21">
                  <c:v>-2.167910427007258</c:v>
                </c:pt>
                <c:pt idx="22">
                  <c:v>-1.4972309114090976</c:v>
                </c:pt>
                <c:pt idx="23">
                  <c:v>-2.3068807862921146</c:v>
                </c:pt>
                <c:pt idx="24">
                  <c:v>-1.4107532266979343</c:v>
                </c:pt>
                <c:pt idx="25">
                  <c:v>-6.7653082541627496E-2</c:v>
                </c:pt>
                <c:pt idx="26">
                  <c:v>-4.5328062438101654E-2</c:v>
                </c:pt>
                <c:pt idx="27">
                  <c:v>-0.3065077855418773</c:v>
                </c:pt>
                <c:pt idx="28">
                  <c:v>-1.3254486299608883</c:v>
                </c:pt>
                <c:pt idx="29">
                  <c:v>-1.166230880622666</c:v>
                </c:pt>
                <c:pt idx="30">
                  <c:v>-0.75649600437687103</c:v>
                </c:pt>
                <c:pt idx="31">
                  <c:v>-0.57937910236466639</c:v>
                </c:pt>
                <c:pt idx="32">
                  <c:v>-1.3032445409378008</c:v>
                </c:pt>
                <c:pt idx="33">
                  <c:v>-1.8626975797997085</c:v>
                </c:pt>
                <c:pt idx="34">
                  <c:v>-1.2341441666343194</c:v>
                </c:pt>
                <c:pt idx="35">
                  <c:v>0.24885225349810969</c:v>
                </c:pt>
                <c:pt idx="36">
                  <c:v>0.86139752868685404</c:v>
                </c:pt>
                <c:pt idx="37">
                  <c:v>1.4234612314810611</c:v>
                </c:pt>
                <c:pt idx="38">
                  <c:v>0.73342832803723068</c:v>
                </c:pt>
                <c:pt idx="39">
                  <c:v>0.34189311818172285</c:v>
                </c:pt>
                <c:pt idx="40">
                  <c:v>1.4545478830165124</c:v>
                </c:pt>
                <c:pt idx="41">
                  <c:v>2.4281800759221968</c:v>
                </c:pt>
                <c:pt idx="42">
                  <c:v>2.7386932094705703</c:v>
                </c:pt>
                <c:pt idx="43">
                  <c:v>3.3346174066121055</c:v>
                </c:pt>
                <c:pt idx="44">
                  <c:v>3.0241424751043695</c:v>
                </c:pt>
                <c:pt idx="45">
                  <c:v>3.5364787187048883</c:v>
                </c:pt>
                <c:pt idx="46">
                  <c:v>3.799539448365568</c:v>
                </c:pt>
                <c:pt idx="47">
                  <c:v>4.0272042132154739</c:v>
                </c:pt>
                <c:pt idx="48">
                  <c:v>4.0367394995629207</c:v>
                </c:pt>
                <c:pt idx="49">
                  <c:v>3.9373356112758944</c:v>
                </c:pt>
                <c:pt idx="50">
                  <c:v>4.740777772117335</c:v>
                </c:pt>
                <c:pt idx="51">
                  <c:v>5.0519662104372189</c:v>
                </c:pt>
                <c:pt idx="52">
                  <c:v>6.0535671286361756</c:v>
                </c:pt>
                <c:pt idx="53">
                  <c:v>7.7101698534143877</c:v>
                </c:pt>
                <c:pt idx="54">
                  <c:v>8.5649865476534348</c:v>
                </c:pt>
                <c:pt idx="55">
                  <c:v>7.4488698551637054</c:v>
                </c:pt>
                <c:pt idx="56">
                  <c:v>5.8803462126313173</c:v>
                </c:pt>
                <c:pt idx="57">
                  <c:v>7.0848044106527048</c:v>
                </c:pt>
                <c:pt idx="58">
                  <c:v>8.3052007408192132</c:v>
                </c:pt>
                <c:pt idx="59">
                  <c:v>8.4342179638049846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8-3C4B-AC8B-A452CBB2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257408"/>
        <c:axId val="1898259200"/>
      </c:lineChart>
      <c:catAx>
        <c:axId val="189825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 (t)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59200"/>
        <c:crosses val="autoZero"/>
        <c:auto val="1"/>
        <c:lblAlgn val="ctr"/>
        <c:lblOffset val="100"/>
        <c:noMultiLvlLbl val="0"/>
      </c:catAx>
      <c:valAx>
        <c:axId val="189825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574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Stationarity: AR(1) Reverts to Mean; Random Walk Drifts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AR(1) — stationary (mean-reverts)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'5.ARIMA'!$C$4:$C$63</c:f>
              <c:numCache>
                <c:formatCode>0.00000</c:formatCode>
                <c:ptCount val="60"/>
                <c:pt idx="0">
                  <c:v>-0.34384148197351289</c:v>
                </c:pt>
                <c:pt idx="1">
                  <c:v>-1.5960561469449648</c:v>
                </c:pt>
                <c:pt idx="2">
                  <c:v>-2.6080109133007014</c:v>
                </c:pt>
                <c:pt idx="3">
                  <c:v>-2.9014963450936757</c:v>
                </c:pt>
                <c:pt idx="4">
                  <c:v>-2.520090712730382</c:v>
                </c:pt>
                <c:pt idx="5">
                  <c:v>-1.0154132093659982</c:v>
                </c:pt>
                <c:pt idx="6">
                  <c:v>-2.6808744990592435</c:v>
                </c:pt>
                <c:pt idx="7">
                  <c:v>-3.119955095967244</c:v>
                </c:pt>
                <c:pt idx="8">
                  <c:v>-2.6927823305260521</c:v>
                </c:pt>
                <c:pt idx="9">
                  <c:v>-2.458683648157217</c:v>
                </c:pt>
                <c:pt idx="10">
                  <c:v>-2.4690972180477697</c:v>
                </c:pt>
                <c:pt idx="11">
                  <c:v>-2.6885587466727032</c:v>
                </c:pt>
                <c:pt idx="12">
                  <c:v>-3.104826528492882</c:v>
                </c:pt>
                <c:pt idx="13">
                  <c:v>-3.7309627615664627</c:v>
                </c:pt>
                <c:pt idx="14">
                  <c:v>-1.9301564709644685</c:v>
                </c:pt>
                <c:pt idx="15">
                  <c:v>-0.58923247430827153</c:v>
                </c:pt>
                <c:pt idx="16">
                  <c:v>-0.1923854048343947</c:v>
                </c:pt>
                <c:pt idx="17">
                  <c:v>-0.44268420547520015</c:v>
                </c:pt>
                <c:pt idx="18">
                  <c:v>-1.1546104723726227</c:v>
                </c:pt>
                <c:pt idx="19">
                  <c:v>-0.93935488506181575</c:v>
                </c:pt>
                <c:pt idx="20">
                  <c:v>-0.8903435447884912</c:v>
                </c:pt>
                <c:pt idx="21">
                  <c:v>-0.14215011481041118</c:v>
                </c:pt>
                <c:pt idx="22">
                  <c:v>-3.7297531698270797E-2</c:v>
                </c:pt>
                <c:pt idx="23">
                  <c:v>0.55988602633426365</c:v>
                </c:pt>
                <c:pt idx="24">
                  <c:v>-0.67731000066549585</c:v>
                </c:pt>
                <c:pt idx="25">
                  <c:v>-3.2666632867348961</c:v>
                </c:pt>
                <c:pt idx="26">
                  <c:v>-2.9646030868508535</c:v>
                </c:pt>
                <c:pt idx="27">
                  <c:v>-3.6162986295412511</c:v>
                </c:pt>
                <c:pt idx="28">
                  <c:v>-3.4422123949309795</c:v>
                </c:pt>
                <c:pt idx="29">
                  <c:v>-2.2052566904467072</c:v>
                </c:pt>
                <c:pt idx="30">
                  <c:v>-0.49803887990855511</c:v>
                </c:pt>
                <c:pt idx="31">
                  <c:v>0.49286573730686567</c:v>
                </c:pt>
                <c:pt idx="32">
                  <c:v>-0.45917188696156613</c:v>
                </c:pt>
                <c:pt idx="33">
                  <c:v>0.75886471847805392</c:v>
                </c:pt>
                <c:pt idx="34">
                  <c:v>0.84071761251236654</c:v>
                </c:pt>
                <c:pt idx="35">
                  <c:v>0.71753778544647429</c:v>
                </c:pt>
                <c:pt idx="36">
                  <c:v>-1.2136122647363794</c:v>
                </c:pt>
                <c:pt idx="37">
                  <c:v>-1.1001013068025203</c:v>
                </c:pt>
                <c:pt idx="38">
                  <c:v>-1.646808531455596</c:v>
                </c:pt>
                <c:pt idx="39">
                  <c:v>-1.7547023907472517</c:v>
                </c:pt>
                <c:pt idx="40">
                  <c:v>-2.1235122179068089</c:v>
                </c:pt>
                <c:pt idx="41">
                  <c:v>-2.7717266892410302</c:v>
                </c:pt>
                <c:pt idx="42">
                  <c:v>-2.3759819615793165</c:v>
                </c:pt>
                <c:pt idx="43">
                  <c:v>-3.1085167476278945</c:v>
                </c:pt>
                <c:pt idx="44">
                  <c:v>-3.1958256663819222</c:v>
                </c:pt>
                <c:pt idx="45">
                  <c:v>-2.4794907576134464</c:v>
                </c:pt>
                <c:pt idx="46">
                  <c:v>-3.1545708358496456</c:v>
                </c:pt>
                <c:pt idx="47">
                  <c:v>-3.2042068618267239</c:v>
                </c:pt>
                <c:pt idx="48">
                  <c:v>-2.9915263881490248</c:v>
                </c:pt>
                <c:pt idx="49">
                  <c:v>-3.1604960528078818</c:v>
                </c:pt>
                <c:pt idx="50">
                  <c:v>-4.057404007610498</c:v>
                </c:pt>
                <c:pt idx="51">
                  <c:v>-3.925969676242798</c:v>
                </c:pt>
                <c:pt idx="52">
                  <c:v>-3.4823829047506485</c:v>
                </c:pt>
                <c:pt idx="53">
                  <c:v>-4.5436891474733789</c:v>
                </c:pt>
                <c:pt idx="54">
                  <c:v>-4.0986661820172525</c:v>
                </c:pt>
                <c:pt idx="55">
                  <c:v>-4.0453967950438718</c:v>
                </c:pt>
                <c:pt idx="56">
                  <c:v>-3.5630837523794709</c:v>
                </c:pt>
                <c:pt idx="57">
                  <c:v>-3.9781194676921285</c:v>
                </c:pt>
                <c:pt idx="58">
                  <c:v>-2.8222408665518759</c:v>
                </c:pt>
                <c:pt idx="59">
                  <c:v>-0.34447617323831237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B-B04E-8151-434BCE121F68}"/>
            </c:ext>
          </c:extLst>
        </c:ser>
        <c:ser>
          <c:idx val="1"/>
          <c:order val="1"/>
          <c:tx>
            <c:v>Random Walk I(1) — non-stationary (drifts)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'5.ARIMA'!$E$4:$E$63</c:f>
              <c:numCache>
                <c:formatCode>0.00000</c:formatCode>
                <c:ptCount val="60"/>
                <c:pt idx="0">
                  <c:v>1.2479159021289852</c:v>
                </c:pt>
                <c:pt idx="1">
                  <c:v>1.0909877676622655</c:v>
                </c:pt>
                <c:pt idx="2">
                  <c:v>0.75367204084305328</c:v>
                </c:pt>
                <c:pt idx="3">
                  <c:v>0.33389595508613429</c:v>
                </c:pt>
                <c:pt idx="4">
                  <c:v>-0.36314519494137903</c:v>
                </c:pt>
                <c:pt idx="5">
                  <c:v>0.8298736760324148</c:v>
                </c:pt>
                <c:pt idx="6">
                  <c:v>1.0368186852839394</c:v>
                </c:pt>
                <c:pt idx="7">
                  <c:v>1.4099151346874144</c:v>
                </c:pt>
                <c:pt idx="8">
                  <c:v>2.2251913677908099</c:v>
                </c:pt>
                <c:pt idx="9">
                  <c:v>0.83744535862467084</c:v>
                </c:pt>
                <c:pt idx="10">
                  <c:v>1.1382691127210387</c:v>
                </c:pt>
                <c:pt idx="11">
                  <c:v>1.4377766018849867</c:v>
                </c:pt>
                <c:pt idx="12">
                  <c:v>0.55617919529839499</c:v>
                </c:pt>
                <c:pt idx="13">
                  <c:v>0.44982235103462304</c:v>
                </c:pt>
                <c:pt idx="14">
                  <c:v>-0.27104339595042465</c:v>
                </c:pt>
                <c:pt idx="15">
                  <c:v>1.3712497081307373</c:v>
                </c:pt>
                <c:pt idx="16">
                  <c:v>1.6271122859499605</c:v>
                </c:pt>
                <c:pt idx="17">
                  <c:v>1.8562381079488774</c:v>
                </c:pt>
                <c:pt idx="18">
                  <c:v>2.4329260971358906</c:v>
                </c:pt>
                <c:pt idx="19">
                  <c:v>2.8571090795138203</c:v>
                </c:pt>
                <c:pt idx="20">
                  <c:v>2.6923862969782233</c:v>
                </c:pt>
                <c:pt idx="21">
                  <c:v>1.4931956437639784</c:v>
                </c:pt>
                <c:pt idx="22">
                  <c:v>1.6501405717732265</c:v>
                </c:pt>
                <c:pt idx="23">
                  <c:v>1.8611611918171653</c:v>
                </c:pt>
                <c:pt idx="24">
                  <c:v>1.4742377242893219</c:v>
                </c:pt>
                <c:pt idx="25">
                  <c:v>2.5627954639408546</c:v>
                </c:pt>
                <c:pt idx="26">
                  <c:v>2.8278337408937602</c:v>
                </c:pt>
                <c:pt idx="27">
                  <c:v>1.40107407264849</c:v>
                </c:pt>
                <c:pt idx="28">
                  <c:v>0.56482578317473087</c:v>
                </c:pt>
                <c:pt idx="29">
                  <c:v>0.93626261248713916</c:v>
                </c:pt>
                <c:pt idx="30">
                  <c:v>0.92066786341639428</c:v>
                </c:pt>
                <c:pt idx="31">
                  <c:v>1.2425476268294131</c:v>
                </c:pt>
                <c:pt idx="32">
                  <c:v>0.9718726651104812</c:v>
                </c:pt>
                <c:pt idx="33">
                  <c:v>0.40973531835903221</c:v>
                </c:pt>
                <c:pt idx="34">
                  <c:v>1.0233801223432424</c:v>
                </c:pt>
                <c:pt idx="35">
                  <c:v>2.3676713973751284</c:v>
                </c:pt>
                <c:pt idx="36">
                  <c:v>4.2450247769891369E-2</c:v>
                </c:pt>
                <c:pt idx="37">
                  <c:v>-0.23270181987240246</c:v>
                </c:pt>
                <c:pt idx="38">
                  <c:v>-0.48829116988454263</c:v>
                </c:pt>
                <c:pt idx="39">
                  <c:v>-1.6236639571625642</c:v>
                </c:pt>
                <c:pt idx="40">
                  <c:v>-2.1306343372382979</c:v>
                </c:pt>
                <c:pt idx="41">
                  <c:v>-4.2310848102779719</c:v>
                </c:pt>
                <c:pt idx="42">
                  <c:v>-3.2860520105031741</c:v>
                </c:pt>
                <c:pt idx="43">
                  <c:v>-4.2879492070280918</c:v>
                </c:pt>
                <c:pt idx="44">
                  <c:v>-4.106595744720674</c:v>
                </c:pt>
                <c:pt idx="45">
                  <c:v>-3.395370102460658</c:v>
                </c:pt>
                <c:pt idx="46">
                  <c:v>-3.4236921411503194</c:v>
                </c:pt>
                <c:pt idx="47">
                  <c:v>-4.2920115223052093</c:v>
                </c:pt>
                <c:pt idx="48">
                  <c:v>-3.7902513621362033</c:v>
                </c:pt>
                <c:pt idx="49">
                  <c:v>-2.6869445332208528</c:v>
                </c:pt>
                <c:pt idx="50">
                  <c:v>-4.4926597668576678</c:v>
                </c:pt>
                <c:pt idx="51">
                  <c:v>-4.3077778297835785</c:v>
                </c:pt>
                <c:pt idx="52">
                  <c:v>-4.0347972741023339</c:v>
                </c:pt>
                <c:pt idx="53">
                  <c:v>-3.8755825849742638</c:v>
                </c:pt>
                <c:pt idx="54">
                  <c:v>-3.7163750369222588</c:v>
                </c:pt>
                <c:pt idx="55">
                  <c:v>-4.1423826657513692</c:v>
                </c:pt>
                <c:pt idx="56">
                  <c:v>-5.148820623284001</c:v>
                </c:pt>
                <c:pt idx="57">
                  <c:v>-7.1114387301624848</c:v>
                </c:pt>
                <c:pt idx="58">
                  <c:v>-6.617484756419814</c:v>
                </c:pt>
                <c:pt idx="59">
                  <c:v>-6.2583560774897444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B-B04E-8151-434BCE12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23680"/>
        <c:axId val="1896810240"/>
      </c:lineChart>
      <c:catAx>
        <c:axId val="189682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Observation (t)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10240"/>
        <c:crosses val="autoZero"/>
        <c:auto val="1"/>
        <c:lblAlgn val="ctr"/>
        <c:lblOffset val="100"/>
        <c:noMultiLvlLbl val="0"/>
      </c:catAx>
      <c:valAx>
        <c:axId val="18968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2368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 500 Returns vs Mean-Model Forecasts  [R² ≈3% — Mean is ~Unpredictable]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S&amp;P 500 Return (% ×100)</c:v>
          </c:tx>
          <c:spPr>
            <a:ln w="28575" cap="rnd">
              <a:solidFill>
                <a:srgbClr val="1A1A2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'5.ARIMA'!$J$5:$J$63</c:f>
              <c:numCache>
                <c:formatCode>General</c:formatCode>
                <c:ptCount val="59"/>
                <c:pt idx="0">
                  <c:v>-0.12113657639155101</c:v>
                </c:pt>
                <c:pt idx="1">
                  <c:v>0.66707917430471964</c:v>
                </c:pt>
                <c:pt idx="2">
                  <c:v>1.6065486617628961</c:v>
                </c:pt>
                <c:pt idx="3">
                  <c:v>-0.24548761294726756</c:v>
                </c:pt>
                <c:pt idx="4">
                  <c:v>-0.20112502237132546</c:v>
                </c:pt>
                <c:pt idx="5">
                  <c:v>1.5334302622674396</c:v>
                </c:pt>
                <c:pt idx="6">
                  <c:v>0.88748844487809753</c:v>
                </c:pt>
                <c:pt idx="7">
                  <c:v>-0.48215906453202134</c:v>
                </c:pt>
                <c:pt idx="8">
                  <c:v>0.55124296395039873</c:v>
                </c:pt>
                <c:pt idx="9">
                  <c:v>-0.42904899245061812</c:v>
                </c:pt>
                <c:pt idx="10">
                  <c:v>-0.42128306139583027</c:v>
                </c:pt>
                <c:pt idx="11">
                  <c:v>0.2596741771265631</c:v>
                </c:pt>
                <c:pt idx="12">
                  <c:v>-1.9171552133154184</c:v>
                </c:pt>
                <c:pt idx="13">
                  <c:v>-2.0470411829203212</c:v>
                </c:pt>
                <c:pt idx="14">
                  <c:v>-0.64772079169447583</c:v>
                </c:pt>
                <c:pt idx="15">
                  <c:v>-0.97974154406534675</c:v>
                </c:pt>
                <c:pt idx="16">
                  <c:v>0.36193332840726677</c:v>
                </c:pt>
                <c:pt idx="17">
                  <c:v>-0.87524506038356797</c:v>
                </c:pt>
                <c:pt idx="18">
                  <c:v>-1.4251166520256224</c:v>
                </c:pt>
                <c:pt idx="19">
                  <c:v>1.6633480164295882</c:v>
                </c:pt>
                <c:pt idx="20">
                  <c:v>-0.23279526462302333</c:v>
                </c:pt>
                <c:pt idx="21">
                  <c:v>9.3726235716231551E-2</c:v>
                </c:pt>
                <c:pt idx="22">
                  <c:v>-1.3635751621641814</c:v>
                </c:pt>
                <c:pt idx="23">
                  <c:v>-0.55921391318446878</c:v>
                </c:pt>
                <c:pt idx="24">
                  <c:v>0.13854201179323264</c:v>
                </c:pt>
                <c:pt idx="25">
                  <c:v>-1.1016357826425731</c:v>
                </c:pt>
                <c:pt idx="26">
                  <c:v>0.43343886599564774</c:v>
                </c:pt>
                <c:pt idx="27">
                  <c:v>-0.59637653469286867</c:v>
                </c:pt>
                <c:pt idx="28">
                  <c:v>-0.27659885362656095</c:v>
                </c:pt>
                <c:pt idx="29">
                  <c:v>-0.54750569563483564</c:v>
                </c:pt>
                <c:pt idx="30">
                  <c:v>1.8407343631838935</c:v>
                </c:pt>
                <c:pt idx="31">
                  <c:v>8.7750087806441543E-3</c:v>
                </c:pt>
                <c:pt idx="32">
                  <c:v>-0.93562805766086821</c:v>
                </c:pt>
                <c:pt idx="33">
                  <c:v>0.90814585452372432</c:v>
                </c:pt>
                <c:pt idx="34">
                  <c:v>-1.3189794377500772</c:v>
                </c:pt>
                <c:pt idx="35">
                  <c:v>0.25898212119692798</c:v>
                </c:pt>
                <c:pt idx="36">
                  <c:v>-1.8806258881128821</c:v>
                </c:pt>
                <c:pt idx="37">
                  <c:v>-1.5574917471076215</c:v>
                </c:pt>
                <c:pt idx="38">
                  <c:v>0.24878125762513001</c:v>
                </c:pt>
                <c:pt idx="39">
                  <c:v>0.75532940637161583</c:v>
                </c:pt>
                <c:pt idx="40">
                  <c:v>0.21145723363076521</c:v>
                </c:pt>
                <c:pt idx="41">
                  <c:v>-8.4768128441018997E-2</c:v>
                </c:pt>
                <c:pt idx="42">
                  <c:v>-0.27581407103905642</c:v>
                </c:pt>
                <c:pt idx="43">
                  <c:v>-1.4851304136611461</c:v>
                </c:pt>
                <c:pt idx="44">
                  <c:v>-0.76831274315068232</c:v>
                </c:pt>
                <c:pt idx="45">
                  <c:v>-0.43656826068705945</c:v>
                </c:pt>
                <c:pt idx="46">
                  <c:v>1.0511055683539985</c:v>
                </c:pt>
                <c:pt idx="47">
                  <c:v>0.38205554190330077</c:v>
                </c:pt>
                <c:pt idx="48">
                  <c:v>-1.6681933197953236</c:v>
                </c:pt>
                <c:pt idx="49">
                  <c:v>0.4039434852456803</c:v>
                </c:pt>
                <c:pt idx="50">
                  <c:v>-0.34328481905995306</c:v>
                </c:pt>
                <c:pt idx="51">
                  <c:v>-0.63454123510951776</c:v>
                </c:pt>
                <c:pt idx="52">
                  <c:v>0.67446710168615143</c:v>
                </c:pt>
                <c:pt idx="53">
                  <c:v>1.0476356326837035</c:v>
                </c:pt>
                <c:pt idx="54">
                  <c:v>1.0563192393945127</c:v>
                </c:pt>
                <c:pt idx="55">
                  <c:v>-0.86289840852801281</c:v>
                </c:pt>
                <c:pt idx="56">
                  <c:v>-0.28929542546789916</c:v>
                </c:pt>
                <c:pt idx="57">
                  <c:v>0.35960394652092031</c:v>
                </c:pt>
                <c:pt idx="58">
                  <c:v>1.009262684375511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5-544B-818A-9D8B86B9FB6A}"/>
            </c:ext>
          </c:extLst>
        </c:ser>
        <c:ser>
          <c:idx val="1"/>
          <c:order val="1"/>
          <c:tx>
            <c:v>AR(1) Fitted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'5.ARIMA'!$K$5:$K$63</c:f>
              <c:numCache>
                <c:formatCode>General</c:formatCode>
                <c:ptCount val="59"/>
                <c:pt idx="0" formatCode="0.00000">
                  <c:v>-9.8823359027010338E-2</c:v>
                </c:pt>
                <c:pt idx="1">
                  <c:v>2.0342197214869559E-2</c:v>
                </c:pt>
                <c:pt idx="2">
                  <c:v>-0.11202112958663259</c:v>
                </c:pt>
                <c:pt idx="3">
                  <c:v>-0.2697841616988691</c:v>
                </c:pt>
                <c:pt idx="4">
                  <c:v>4.1224191611949713E-2</c:v>
                </c:pt>
                <c:pt idx="5">
                  <c:v>3.3774479944836171E-2</c:v>
                </c:pt>
                <c:pt idx="6">
                  <c:v>-0.2575055506725471</c:v>
                </c:pt>
                <c:pt idx="7">
                  <c:v>-0.14903397065865351</c:v>
                </c:pt>
                <c:pt idx="8">
                  <c:v>8.0967904755243639E-2</c:v>
                </c:pt>
                <c:pt idx="9">
                  <c:v>-9.256901111141487E-2</c:v>
                </c:pt>
                <c:pt idx="10">
                  <c:v>7.2049247875890093E-2</c:v>
                </c:pt>
                <c:pt idx="11">
                  <c:v>7.0745132258795668E-2</c:v>
                </c:pt>
                <c:pt idx="12">
                  <c:v>-4.3606509941665705E-2</c:v>
                </c:pt>
                <c:pt idx="13">
                  <c:v>0.32194363257155467</c:v>
                </c:pt>
                <c:pt idx="14">
                  <c:v>0.34375509602753995</c:v>
                </c:pt>
                <c:pt idx="15">
                  <c:v>0.10877031923232951</c:v>
                </c:pt>
                <c:pt idx="16">
                  <c:v>0.16452582946176261</c:v>
                </c:pt>
                <c:pt idx="17">
                  <c:v>-6.0778662930813111E-2</c:v>
                </c:pt>
                <c:pt idx="18">
                  <c:v>0.14697796619341119</c:v>
                </c:pt>
                <c:pt idx="19">
                  <c:v>0.2393166857877439</c:v>
                </c:pt>
                <c:pt idx="20">
                  <c:v>-0.27932235163889579</c:v>
                </c:pt>
                <c:pt idx="21">
                  <c:v>3.9092793644278541E-2</c:v>
                </c:pt>
                <c:pt idx="22">
                  <c:v>-1.5739239360572799E-2</c:v>
                </c:pt>
                <c:pt idx="23">
                  <c:v>0.22898215957815518</c:v>
                </c:pt>
                <c:pt idx="24">
                  <c:v>9.3907554977679164E-2</c:v>
                </c:pt>
                <c:pt idx="25">
                  <c:v>-2.326505346604206E-2</c:v>
                </c:pt>
                <c:pt idx="26">
                  <c:v>0.18499525921087054</c:v>
                </c:pt>
                <c:pt idx="27">
                  <c:v>-7.2786429626121224E-2</c:v>
                </c:pt>
                <c:pt idx="28">
                  <c:v>0.10014819177182048</c:v>
                </c:pt>
                <c:pt idx="29">
                  <c:v>4.6448633414331704E-2</c:v>
                </c:pt>
                <c:pt idx="30">
                  <c:v>9.1941419913242547E-2</c:v>
                </c:pt>
                <c:pt idx="31">
                  <c:v>-0.30911044831778622</c:v>
                </c:pt>
                <c:pt idx="32">
                  <c:v>-1.4735678066474199E-3</c:v>
                </c:pt>
                <c:pt idx="33">
                  <c:v>0.15711794930692971</c:v>
                </c:pt>
                <c:pt idx="34">
                  <c:v>-0.15250292374844049</c:v>
                </c:pt>
                <c:pt idx="35">
                  <c:v>0.22149329826149217</c:v>
                </c:pt>
                <c:pt idx="36">
                  <c:v>-4.3490294520826561E-2</c:v>
                </c:pt>
                <c:pt idx="37">
                  <c:v>0.31580934382465947</c:v>
                </c:pt>
                <c:pt idx="38">
                  <c:v>0.26154614257700604</c:v>
                </c:pt>
                <c:pt idx="39">
                  <c:v>-4.1777286074321004E-2</c:v>
                </c:pt>
                <c:pt idx="40">
                  <c:v>-0.12684079577201457</c:v>
                </c:pt>
                <c:pt idx="41">
                  <c:v>-3.5509545317873072E-2</c:v>
                </c:pt>
                <c:pt idx="42">
                  <c:v>1.4234924228904265E-2</c:v>
                </c:pt>
                <c:pt idx="43">
                  <c:v>4.6316846611027876E-2</c:v>
                </c:pt>
                <c:pt idx="44">
                  <c:v>0.24939466397700649</c:v>
                </c:pt>
                <c:pt idx="45">
                  <c:v>0.12902105878698664</c:v>
                </c:pt>
                <c:pt idx="46">
                  <c:v>7.331194195173045E-2</c:v>
                </c:pt>
                <c:pt idx="47">
                  <c:v>-0.17650983214179664</c:v>
                </c:pt>
                <c:pt idx="48">
                  <c:v>-6.4157741715514374E-2</c:v>
                </c:pt>
                <c:pt idx="49">
                  <c:v>0.2801360127111146</c:v>
                </c:pt>
                <c:pt idx="50">
                  <c:v>-6.7833335605995415E-2</c:v>
                </c:pt>
                <c:pt idx="51">
                  <c:v>5.764706002270209E-2</c:v>
                </c:pt>
                <c:pt idx="52">
                  <c:v>0.10655710545956146</c:v>
                </c:pt>
                <c:pt idx="53">
                  <c:v>-0.11326176788333042</c:v>
                </c:pt>
                <c:pt idx="54">
                  <c:v>-0.17592713352317385</c:v>
                </c:pt>
                <c:pt idx="55">
                  <c:v>-0.17738535238249406</c:v>
                </c:pt>
                <c:pt idx="56">
                  <c:v>0.14490462026874829</c:v>
                </c:pt>
                <c:pt idx="57">
                  <c:v>4.8580740627882403E-2</c:v>
                </c:pt>
                <c:pt idx="58">
                  <c:v>-6.038749498524032E-2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5-544B-818A-9D8B86B9FB6A}"/>
            </c:ext>
          </c:extLst>
        </c:ser>
        <c:ser>
          <c:idx val="2"/>
          <c:order val="2"/>
          <c:tx>
            <c:v>MA(1) Fitted</c:v>
          </c:tx>
          <c:spPr>
            <a:ln w="28575" cap="rnd">
              <a:solidFill>
                <a:srgbClr val="1E6B3E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'5.ARIMA'!$N$5:$N$63</c:f>
              <c:numCache>
                <c:formatCode>0.00000</c:formatCode>
                <c:ptCount val="59"/>
                <c:pt idx="0">
                  <c:v>-0.10177936272649275</c:v>
                </c:pt>
                <c:pt idx="1">
                  <c:v>3.3478464033121838E-3</c:v>
                </c:pt>
                <c:pt idx="2">
                  <c:v>-0.1147928920623225</c:v>
                </c:pt>
                <c:pt idx="3">
                  <c:v>-0.29770747120738672</c:v>
                </c:pt>
                <c:pt idx="4">
                  <c:v>-9.0314684583549954E-3</c:v>
                </c:pt>
                <c:pt idx="5">
                  <c:v>3.3222741903596059E-2</c:v>
                </c:pt>
                <c:pt idx="6">
                  <c:v>-0.2594621539120604</c:v>
                </c:pt>
                <c:pt idx="7">
                  <c:v>-0.19836607186227645</c:v>
                </c:pt>
                <c:pt idx="8">
                  <c:v>4.9082237053033377E-2</c:v>
                </c:pt>
                <c:pt idx="9">
                  <c:v>-8.6849120566491245E-2</c:v>
                </c:pt>
                <c:pt idx="10">
                  <c:v>5.9183755995272598E-2</c:v>
                </c:pt>
                <c:pt idx="11">
                  <c:v>8.3097140649804085E-2</c:v>
                </c:pt>
                <c:pt idx="12">
                  <c:v>-3.0539147147160595E-2</c:v>
                </c:pt>
                <c:pt idx="13">
                  <c:v>0.32629183728821409</c:v>
                </c:pt>
                <c:pt idx="14">
                  <c:v>0.41046994433448464</c:v>
                </c:pt>
                <c:pt idx="15">
                  <c:v>0.18301497885657428</c:v>
                </c:pt>
                <c:pt idx="16">
                  <c:v>0.20109971975040544</c:v>
                </c:pt>
                <c:pt idx="17">
                  <c:v>-2.781630804879438E-2</c:v>
                </c:pt>
                <c:pt idx="18">
                  <c:v>0.14656351630237402</c:v>
                </c:pt>
                <c:pt idx="19">
                  <c:v>0.27182340856173709</c:v>
                </c:pt>
                <c:pt idx="20">
                  <c:v>-0.24066535267831701</c:v>
                </c:pt>
                <c:pt idx="21">
                  <c:v>-1.3611383562514314E-3</c:v>
                </c:pt>
                <c:pt idx="22">
                  <c:v>-1.64454414151348E-2</c:v>
                </c:pt>
                <c:pt idx="23">
                  <c:v>0.23298721956794963</c:v>
                </c:pt>
                <c:pt idx="24">
                  <c:v>0.13701185299062205</c:v>
                </c:pt>
                <c:pt idx="25">
                  <c:v>-2.6464225339742017E-4</c:v>
                </c:pt>
                <c:pt idx="26">
                  <c:v>0.19048306615117602</c:v>
                </c:pt>
                <c:pt idx="27">
                  <c:v>-4.2019410166525203E-2</c:v>
                </c:pt>
                <c:pt idx="28">
                  <c:v>9.5876531488935129E-2</c:v>
                </c:pt>
                <c:pt idx="29">
                  <c:v>6.4419931502444419E-2</c:v>
                </c:pt>
                <c:pt idx="30">
                  <c:v>0.10583305249164486</c:v>
                </c:pt>
                <c:pt idx="31">
                  <c:v>-0.30005264257567199</c:v>
                </c:pt>
                <c:pt idx="32">
                  <c:v>-5.3412002353567058E-2</c:v>
                </c:pt>
                <c:pt idx="33">
                  <c:v>0.15258000964447804</c:v>
                </c:pt>
                <c:pt idx="34">
                  <c:v>-0.13067574910383692</c:v>
                </c:pt>
                <c:pt idx="35">
                  <c:v>0.2055181235746795</c:v>
                </c:pt>
                <c:pt idx="36">
                  <c:v>-9.2466434086755783E-3</c:v>
                </c:pt>
                <c:pt idx="37">
                  <c:v>0.32365661618568459</c:v>
                </c:pt>
                <c:pt idx="38">
                  <c:v>0.32534619347185589</c:v>
                </c:pt>
                <c:pt idx="39">
                  <c:v>1.3241970126980975E-2</c:v>
                </c:pt>
                <c:pt idx="40">
                  <c:v>-0.1283446469808486</c:v>
                </c:pt>
                <c:pt idx="41">
                  <c:v>-5.8769021385438311E-2</c:v>
                </c:pt>
                <c:pt idx="42">
                  <c:v>4.496567458077509E-3</c:v>
                </c:pt>
                <c:pt idx="43">
                  <c:v>4.8479960966528256E-2</c:v>
                </c:pt>
                <c:pt idx="44">
                  <c:v>0.26523920568420606</c:v>
                </c:pt>
                <c:pt idx="45">
                  <c:v>0.178753679864016</c:v>
                </c:pt>
                <c:pt idx="46">
                  <c:v>0.10642044775646133</c:v>
                </c:pt>
                <c:pt idx="47">
                  <c:v>-0.16338408708914168</c:v>
                </c:pt>
                <c:pt idx="48">
                  <c:v>-9.4334243127278353E-2</c:v>
                </c:pt>
                <c:pt idx="49">
                  <c:v>0.27220025259392061</c:v>
                </c:pt>
                <c:pt idx="50">
                  <c:v>-2.2785103022862487E-2</c:v>
                </c:pt>
                <c:pt idx="51">
                  <c:v>5.5430695768688816E-2</c:v>
                </c:pt>
                <c:pt idx="52">
                  <c:v>0.11933122644332887</c:v>
                </c:pt>
                <c:pt idx="53">
                  <c:v>-9.601121708110523E-2</c:v>
                </c:pt>
                <c:pt idx="54">
                  <c:v>-0.19779468568638656</c:v>
                </c:pt>
                <c:pt idx="55">
                  <c:v>-0.2169000593822385</c:v>
                </c:pt>
                <c:pt idx="56">
                  <c:v>0.11172595845429907</c:v>
                </c:pt>
                <c:pt idx="57">
                  <c:v>6.9356986033514714E-2</c:v>
                </c:pt>
                <c:pt idx="58">
                  <c:v>-5.0198456221727618E-2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5-544B-818A-9D8B86B9FB6A}"/>
            </c:ext>
          </c:extLst>
        </c:ser>
        <c:ser>
          <c:idx val="3"/>
          <c:order val="3"/>
          <c:tx>
            <c:v>ARIMA(1,0,1) Fitted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'5.ARIMA'!$P$5:$P$63</c:f>
              <c:numCache>
                <c:formatCode>0.00000</c:formatCode>
                <c:ptCount val="59"/>
                <c:pt idx="0">
                  <c:v>-0.20060272175350308</c:v>
                </c:pt>
                <c:pt idx="1">
                  <c:v>6.5984604592369753E-3</c:v>
                </c:pt>
                <c:pt idx="2">
                  <c:v>-0.22625182521076997</c:v>
                </c:pt>
                <c:pt idx="3">
                  <c:v>-0.58676854924941801</c:v>
                </c:pt>
                <c:pt idx="4">
                  <c:v>-1.7800633700620933E-2</c:v>
                </c:pt>
                <c:pt idx="5">
                  <c:v>6.5480587335616791E-2</c:v>
                </c:pt>
                <c:pt idx="6">
                  <c:v>-0.5113886830540898</c:v>
                </c:pt>
                <c:pt idx="7">
                  <c:v>-0.3909709478733624</c:v>
                </c:pt>
                <c:pt idx="8">
                  <c:v>9.6738966317247876E-2</c:v>
                </c:pt>
                <c:pt idx="9">
                  <c:v>-0.17117586022182241</c:v>
                </c:pt>
                <c:pt idx="10">
                  <c:v>0.11664862323957691</c:v>
                </c:pt>
                <c:pt idx="11">
                  <c:v>0.16378087008738321</c:v>
                </c:pt>
                <c:pt idx="12">
                  <c:v>-6.019133814203486E-2</c:v>
                </c:pt>
                <c:pt idx="13">
                  <c:v>0.64310709845827363</c:v>
                </c:pt>
                <c:pt idx="14">
                  <c:v>0.80901850655892737</c:v>
                </c:pt>
                <c:pt idx="15">
                  <c:v>0.36071460752752682</c:v>
                </c:pt>
                <c:pt idx="16">
                  <c:v>0.39635884962460466</c:v>
                </c:pt>
                <c:pt idx="17">
                  <c:v>-5.48247400479112E-2</c:v>
                </c:pt>
                <c:pt idx="18">
                  <c:v>0.28887035143881068</c:v>
                </c:pt>
                <c:pt idx="19">
                  <c:v>0.53575218131725821</c:v>
                </c:pt>
                <c:pt idx="20">
                  <c:v>-0.47434100082521458</c:v>
                </c:pt>
                <c:pt idx="21">
                  <c:v>-2.6827448279557048E-3</c:v>
                </c:pt>
                <c:pt idx="22">
                  <c:v>-3.2413253727861142E-2</c:v>
                </c:pt>
                <c:pt idx="23">
                  <c:v>0.45920773256075859</c:v>
                </c:pt>
                <c:pt idx="24">
                  <c:v>0.27004443618171137</c:v>
                </c:pt>
                <c:pt idx="25">
                  <c:v>-5.2159843508908788E-4</c:v>
                </c:pt>
                <c:pt idx="26">
                  <c:v>0.37543388457405036</c:v>
                </c:pt>
                <c:pt idx="27">
                  <c:v>-8.2818440006676194E-2</c:v>
                </c:pt>
                <c:pt idx="28">
                  <c:v>0.18896849669465984</c:v>
                </c:pt>
                <c:pt idx="29">
                  <c:v>0.12696889868815059</c:v>
                </c:pt>
                <c:pt idx="30">
                  <c:v>0.2085923689496548</c:v>
                </c:pt>
                <c:pt idx="31">
                  <c:v>-0.59139078058250871</c:v>
                </c:pt>
                <c:pt idx="32">
                  <c:v>-0.10527274645276495</c:v>
                </c:pt>
                <c:pt idx="33">
                  <c:v>0.30072859958957987</c:v>
                </c:pt>
                <c:pt idx="34">
                  <c:v>-0.25755624947123201</c:v>
                </c:pt>
                <c:pt idx="35">
                  <c:v>0.40506733245660365</c:v>
                </c:pt>
                <c:pt idx="36">
                  <c:v>-1.8224734220914786E-2</c:v>
                </c:pt>
                <c:pt idx="37">
                  <c:v>0.63791319164427374</c:v>
                </c:pt>
                <c:pt idx="38">
                  <c:v>0.64124327539739834</c:v>
                </c:pt>
                <c:pt idx="39">
                  <c:v>2.6099350376061259E-2</c:v>
                </c:pt>
                <c:pt idx="40">
                  <c:v>-0.25296174801209581</c:v>
                </c:pt>
                <c:pt idx="41">
                  <c:v>-0.11583119926177399</c:v>
                </c:pt>
                <c:pt idx="42">
                  <c:v>8.8625399734772181E-3</c:v>
                </c:pt>
                <c:pt idx="43">
                  <c:v>9.5551906200506465E-2</c:v>
                </c:pt>
                <c:pt idx="44">
                  <c:v>0.52277500222684348</c:v>
                </c:pt>
                <c:pt idx="45">
                  <c:v>0.35231577152371141</c:v>
                </c:pt>
                <c:pt idx="46">
                  <c:v>0.20975009961047603</c:v>
                </c:pt>
                <c:pt idx="47">
                  <c:v>-0.32202296893299304</c:v>
                </c:pt>
                <c:pt idx="48">
                  <c:v>-0.1859287130411848</c:v>
                </c:pt>
                <c:pt idx="49">
                  <c:v>0.53649492460536208</c:v>
                </c:pt>
                <c:pt idx="50">
                  <c:v>-4.4908452552439061E-2</c:v>
                </c:pt>
                <c:pt idx="51">
                  <c:v>0.1092515038610572</c:v>
                </c:pt>
                <c:pt idx="52">
                  <c:v>0.23519668598282903</c:v>
                </c:pt>
                <c:pt idx="53">
                  <c:v>-0.1892339561713802</c:v>
                </c:pt>
                <c:pt idx="54">
                  <c:v>-0.38984477043438737</c:v>
                </c:pt>
                <c:pt idx="55">
                  <c:v>-0.42750063563964347</c:v>
                </c:pt>
                <c:pt idx="56">
                  <c:v>0.22020703172095329</c:v>
                </c:pt>
                <c:pt idx="57">
                  <c:v>0.13669961963046565</c:v>
                </c:pt>
                <c:pt idx="58">
                  <c:v>-9.8938986019819763E-2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5-544B-818A-9D8B86B9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439424"/>
        <c:axId val="1898434048"/>
      </c:lineChart>
      <c:catAx>
        <c:axId val="189843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2023 Trading Days (obs 2–60)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34048"/>
        <c:crosses val="autoZero"/>
        <c:auto val="1"/>
        <c:lblAlgn val="ctr"/>
        <c:lblOffset val="100"/>
        <c:noMultiLvlLbl val="0"/>
      </c:catAx>
      <c:valAx>
        <c:axId val="18984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 (% ×100)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439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Is NOT Constant: Rolling 20-Day Ann. Vol (2023)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 20d Ann. Vol (%)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MOTIVATION'!$E$23:$E$253</c:f>
              <c:numCache>
                <c:formatCode>0.0%</c:formatCode>
                <c:ptCount val="231"/>
                <c:pt idx="0">
                  <c:v>0.15961503052218803</c:v>
                </c:pt>
                <c:pt idx="1">
                  <c:v>0.17054678033700491</c:v>
                </c:pt>
                <c:pt idx="2">
                  <c:v>0.17059982725154951</c:v>
                </c:pt>
                <c:pt idx="3">
                  <c:v>0.16829581470076482</c:v>
                </c:pt>
                <c:pt idx="4">
                  <c:v>0.16006431392373044</c:v>
                </c:pt>
                <c:pt idx="5">
                  <c:v>0.16032062248407411</c:v>
                </c:pt>
                <c:pt idx="6">
                  <c:v>0.16108239810406105</c:v>
                </c:pt>
                <c:pt idx="7">
                  <c:v>0.1480514005403625</c:v>
                </c:pt>
                <c:pt idx="8">
                  <c:v>0.14351526836741321</c:v>
                </c:pt>
                <c:pt idx="9">
                  <c:v>0.14360751656201401</c:v>
                </c:pt>
                <c:pt idx="10">
                  <c:v>0.1388438331011739</c:v>
                </c:pt>
                <c:pt idx="11">
                  <c:v>0.1388316361571354</c:v>
                </c:pt>
                <c:pt idx="12">
                  <c:v>0.16188181598007637</c:v>
                </c:pt>
                <c:pt idx="13">
                  <c:v>0.16078984730287901</c:v>
                </c:pt>
                <c:pt idx="14">
                  <c:v>0.15205573675045819</c:v>
                </c:pt>
                <c:pt idx="15">
                  <c:v>0.14436149844575158</c:v>
                </c:pt>
                <c:pt idx="16">
                  <c:v>0.14898644123245286</c:v>
                </c:pt>
                <c:pt idx="17">
                  <c:v>0.14728780220293486</c:v>
                </c:pt>
                <c:pt idx="18">
                  <c:v>0.15757167162354208</c:v>
                </c:pt>
                <c:pt idx="19">
                  <c:v>0.16271874554813059</c:v>
                </c:pt>
                <c:pt idx="20">
                  <c:v>0.1584674023973229</c:v>
                </c:pt>
                <c:pt idx="21">
                  <c:v>0.1468645735483147</c:v>
                </c:pt>
                <c:pt idx="22">
                  <c:v>0.14791366578851065</c:v>
                </c:pt>
                <c:pt idx="23">
                  <c:v>0.14747940162531464</c:v>
                </c:pt>
                <c:pt idx="24">
                  <c:v>0.14173295335172967</c:v>
                </c:pt>
                <c:pt idx="25">
                  <c:v>0.14835816250735412</c:v>
                </c:pt>
                <c:pt idx="26">
                  <c:v>0.14859628847221246</c:v>
                </c:pt>
                <c:pt idx="27">
                  <c:v>0.14573380615425321</c:v>
                </c:pt>
                <c:pt idx="28">
                  <c:v>0.15126014881189687</c:v>
                </c:pt>
                <c:pt idx="29">
                  <c:v>0.15222143735073337</c:v>
                </c:pt>
                <c:pt idx="30">
                  <c:v>0.16097277292275075</c:v>
                </c:pt>
                <c:pt idx="31">
                  <c:v>0.16229311174365585</c:v>
                </c:pt>
                <c:pt idx="32">
                  <c:v>0.14292398564137385</c:v>
                </c:pt>
                <c:pt idx="33">
                  <c:v>0.14274770031230527</c:v>
                </c:pt>
                <c:pt idx="34">
                  <c:v>0.14552776904656523</c:v>
                </c:pt>
                <c:pt idx="35">
                  <c:v>0.14711128209013902</c:v>
                </c:pt>
                <c:pt idx="36">
                  <c:v>0.14882066007553083</c:v>
                </c:pt>
                <c:pt idx="37">
                  <c:v>0.15003231667615943</c:v>
                </c:pt>
                <c:pt idx="38">
                  <c:v>0.13653315894075091</c:v>
                </c:pt>
                <c:pt idx="39">
                  <c:v>0.1265169079986348</c:v>
                </c:pt>
                <c:pt idx="40">
                  <c:v>0.13154264099783974</c:v>
                </c:pt>
                <c:pt idx="41">
                  <c:v>0.12960322814784594</c:v>
                </c:pt>
                <c:pt idx="42">
                  <c:v>0.1292545118989416</c:v>
                </c:pt>
                <c:pt idx="43">
                  <c:v>0.13406969066910185</c:v>
                </c:pt>
                <c:pt idx="44">
                  <c:v>0.13978798005268639</c:v>
                </c:pt>
                <c:pt idx="45">
                  <c:v>0.13569359367983122</c:v>
                </c:pt>
                <c:pt idx="46">
                  <c:v>0.14348575817209391</c:v>
                </c:pt>
                <c:pt idx="47">
                  <c:v>0.14238289849362293</c:v>
                </c:pt>
                <c:pt idx="48">
                  <c:v>0.14223163598759167</c:v>
                </c:pt>
                <c:pt idx="49">
                  <c:v>0.14232252603058923</c:v>
                </c:pt>
                <c:pt idx="50">
                  <c:v>0.12950626887396521</c:v>
                </c:pt>
                <c:pt idx="51">
                  <c:v>0.12951224652918694</c:v>
                </c:pt>
                <c:pt idx="52">
                  <c:v>0.137458183739288</c:v>
                </c:pt>
                <c:pt idx="53">
                  <c:v>0.13404774647054565</c:v>
                </c:pt>
                <c:pt idx="54">
                  <c:v>0.14134975607128578</c:v>
                </c:pt>
                <c:pt idx="55">
                  <c:v>0.17934015855327606</c:v>
                </c:pt>
                <c:pt idx="56">
                  <c:v>0.17976779564312975</c:v>
                </c:pt>
                <c:pt idx="57">
                  <c:v>0.17611023651026</c:v>
                </c:pt>
                <c:pt idx="58">
                  <c:v>0.17598808929457452</c:v>
                </c:pt>
                <c:pt idx="59">
                  <c:v>0.17582279865797745</c:v>
                </c:pt>
                <c:pt idx="60">
                  <c:v>0.18672343854539036</c:v>
                </c:pt>
                <c:pt idx="61">
                  <c:v>0.18601540188169624</c:v>
                </c:pt>
                <c:pt idx="62">
                  <c:v>0.18631887796752453</c:v>
                </c:pt>
                <c:pt idx="63">
                  <c:v>0.18880975524347005</c:v>
                </c:pt>
                <c:pt idx="64">
                  <c:v>0.18350092756475403</c:v>
                </c:pt>
                <c:pt idx="65">
                  <c:v>0.18462005691690908</c:v>
                </c:pt>
                <c:pt idx="66">
                  <c:v>0.17845930639640234</c:v>
                </c:pt>
                <c:pt idx="67">
                  <c:v>0.18126087185425871</c:v>
                </c:pt>
                <c:pt idx="68">
                  <c:v>0.17807289714077262</c:v>
                </c:pt>
                <c:pt idx="69">
                  <c:v>0.17854240535579879</c:v>
                </c:pt>
                <c:pt idx="70">
                  <c:v>0.17819208129973227</c:v>
                </c:pt>
                <c:pt idx="71">
                  <c:v>0.17772149166043535</c:v>
                </c:pt>
                <c:pt idx="72">
                  <c:v>0.17237351523614192</c:v>
                </c:pt>
                <c:pt idx="73">
                  <c:v>0.17429632681355339</c:v>
                </c:pt>
                <c:pt idx="74">
                  <c:v>0.163848333987829</c:v>
                </c:pt>
                <c:pt idx="75">
                  <c:v>0.12610236806797892</c:v>
                </c:pt>
                <c:pt idx="76">
                  <c:v>0.12903952147720649</c:v>
                </c:pt>
                <c:pt idx="77">
                  <c:v>0.12993868780762988</c:v>
                </c:pt>
                <c:pt idx="78">
                  <c:v>0.13059448591695311</c:v>
                </c:pt>
                <c:pt idx="79">
                  <c:v>0.13044935918465544</c:v>
                </c:pt>
                <c:pt idx="80">
                  <c:v>0.11181529464932145</c:v>
                </c:pt>
                <c:pt idx="81">
                  <c:v>0.12149785101075283</c:v>
                </c:pt>
                <c:pt idx="82">
                  <c:v>0.12105474198230046</c:v>
                </c:pt>
                <c:pt idx="83">
                  <c:v>0.10426585461090601</c:v>
                </c:pt>
                <c:pt idx="84">
                  <c:v>0.10546596620495292</c:v>
                </c:pt>
                <c:pt idx="85">
                  <c:v>0.10337389570735044</c:v>
                </c:pt>
                <c:pt idx="86">
                  <c:v>0.10451786621925017</c:v>
                </c:pt>
                <c:pt idx="87">
                  <c:v>0.12080876180884045</c:v>
                </c:pt>
                <c:pt idx="88">
                  <c:v>0.12020067994662047</c:v>
                </c:pt>
                <c:pt idx="89">
                  <c:v>0.11971678313147481</c:v>
                </c:pt>
                <c:pt idx="90">
                  <c:v>0.1175094845237639</c:v>
                </c:pt>
                <c:pt idx="91">
                  <c:v>0.13116278996991482</c:v>
                </c:pt>
                <c:pt idx="92">
                  <c:v>0.12424860786658112</c:v>
                </c:pt>
                <c:pt idx="93">
                  <c:v>0.12320991078011646</c:v>
                </c:pt>
                <c:pt idx="94">
                  <c:v>0.15122932621317253</c:v>
                </c:pt>
                <c:pt idx="95">
                  <c:v>0.15093820024153193</c:v>
                </c:pt>
                <c:pt idx="96">
                  <c:v>0.14179830965390733</c:v>
                </c:pt>
                <c:pt idx="97">
                  <c:v>0.14130954088992337</c:v>
                </c:pt>
                <c:pt idx="98">
                  <c:v>0.14762153627742419</c:v>
                </c:pt>
                <c:pt idx="99">
                  <c:v>0.19855301526384816</c:v>
                </c:pt>
                <c:pt idx="100">
                  <c:v>0.20249803998270088</c:v>
                </c:pt>
                <c:pt idx="101">
                  <c:v>0.21428613209679834</c:v>
                </c:pt>
                <c:pt idx="102">
                  <c:v>0.21835309233456004</c:v>
                </c:pt>
                <c:pt idx="103">
                  <c:v>0.26866678470866984</c:v>
                </c:pt>
                <c:pt idx="104">
                  <c:v>0.27867901541732271</c:v>
                </c:pt>
                <c:pt idx="105">
                  <c:v>0.28680715989095573</c:v>
                </c:pt>
                <c:pt idx="106">
                  <c:v>0.30441932521163351</c:v>
                </c:pt>
                <c:pt idx="107">
                  <c:v>0.31519009940123077</c:v>
                </c:pt>
                <c:pt idx="108">
                  <c:v>0.31467225170021751</c:v>
                </c:pt>
                <c:pt idx="109">
                  <c:v>0.3142970338434507</c:v>
                </c:pt>
                <c:pt idx="110">
                  <c:v>0.31408000842502903</c:v>
                </c:pt>
                <c:pt idx="111">
                  <c:v>0.31327347668552019</c:v>
                </c:pt>
                <c:pt idx="112">
                  <c:v>0.31346479655899406</c:v>
                </c:pt>
                <c:pt idx="113">
                  <c:v>0.31370980423293293</c:v>
                </c:pt>
                <c:pt idx="114">
                  <c:v>0.29912513478414099</c:v>
                </c:pt>
                <c:pt idx="115">
                  <c:v>0.29920050159271949</c:v>
                </c:pt>
                <c:pt idx="116">
                  <c:v>0.3075393862043086</c:v>
                </c:pt>
                <c:pt idx="117">
                  <c:v>0.30723296553835744</c:v>
                </c:pt>
                <c:pt idx="118">
                  <c:v>0.30015217285488066</c:v>
                </c:pt>
                <c:pt idx="119">
                  <c:v>0.28139348596397273</c:v>
                </c:pt>
                <c:pt idx="120">
                  <c:v>0.2780604085383595</c:v>
                </c:pt>
                <c:pt idx="121">
                  <c:v>0.27007992756308419</c:v>
                </c:pt>
                <c:pt idx="122">
                  <c:v>0.27182156245340344</c:v>
                </c:pt>
                <c:pt idx="123">
                  <c:v>0.23246280622465157</c:v>
                </c:pt>
                <c:pt idx="124">
                  <c:v>0.218571026634715</c:v>
                </c:pt>
                <c:pt idx="125">
                  <c:v>0.21005964345279043</c:v>
                </c:pt>
                <c:pt idx="126">
                  <c:v>0.18380962583832697</c:v>
                </c:pt>
                <c:pt idx="127">
                  <c:v>0.15340589711887331</c:v>
                </c:pt>
                <c:pt idx="128">
                  <c:v>0.15854426341366612</c:v>
                </c:pt>
                <c:pt idx="129">
                  <c:v>0.16105407481856709</c:v>
                </c:pt>
                <c:pt idx="130">
                  <c:v>0.16183239024794202</c:v>
                </c:pt>
                <c:pt idx="131">
                  <c:v>0.1534569317092678</c:v>
                </c:pt>
                <c:pt idx="132">
                  <c:v>0.15416427016241271</c:v>
                </c:pt>
                <c:pt idx="133">
                  <c:v>0.15202534877984702</c:v>
                </c:pt>
                <c:pt idx="134">
                  <c:v>0.15104229825954288</c:v>
                </c:pt>
                <c:pt idx="135">
                  <c:v>0.14819834904200796</c:v>
                </c:pt>
                <c:pt idx="136">
                  <c:v>0.13728612043962563</c:v>
                </c:pt>
                <c:pt idx="137">
                  <c:v>0.15287262998227008</c:v>
                </c:pt>
                <c:pt idx="138">
                  <c:v>0.15363716691055992</c:v>
                </c:pt>
                <c:pt idx="139">
                  <c:v>0.15722203216095323</c:v>
                </c:pt>
                <c:pt idx="140">
                  <c:v>0.1520577982633893</c:v>
                </c:pt>
                <c:pt idx="141">
                  <c:v>0.1564313809912832</c:v>
                </c:pt>
                <c:pt idx="142">
                  <c:v>0.15162067514923561</c:v>
                </c:pt>
                <c:pt idx="143">
                  <c:v>0.14381954897395965</c:v>
                </c:pt>
                <c:pt idx="144">
                  <c:v>0.14788348791703204</c:v>
                </c:pt>
                <c:pt idx="145">
                  <c:v>0.15152057381390291</c:v>
                </c:pt>
                <c:pt idx="146">
                  <c:v>0.15016643206723432</c:v>
                </c:pt>
                <c:pt idx="147">
                  <c:v>0.14273022826320669</c:v>
                </c:pt>
                <c:pt idx="148">
                  <c:v>0.14357441139895527</c:v>
                </c:pt>
                <c:pt idx="149">
                  <c:v>0.1450562711854945</c:v>
                </c:pt>
                <c:pt idx="150">
                  <c:v>0.14965031450775604</c:v>
                </c:pt>
                <c:pt idx="151">
                  <c:v>0.15516310470314759</c:v>
                </c:pt>
                <c:pt idx="152">
                  <c:v>0.15951106917379976</c:v>
                </c:pt>
                <c:pt idx="153">
                  <c:v>0.15660967482469465</c:v>
                </c:pt>
                <c:pt idx="154">
                  <c:v>0.15669893841017116</c:v>
                </c:pt>
                <c:pt idx="155">
                  <c:v>0.15667766975253442</c:v>
                </c:pt>
                <c:pt idx="156">
                  <c:v>0.15453321773792686</c:v>
                </c:pt>
                <c:pt idx="157">
                  <c:v>0.14123036293189448</c:v>
                </c:pt>
                <c:pt idx="158">
                  <c:v>0.1475814796445476</c:v>
                </c:pt>
                <c:pt idx="159">
                  <c:v>0.13891206252669111</c:v>
                </c:pt>
                <c:pt idx="160">
                  <c:v>0.16219553608788406</c:v>
                </c:pt>
                <c:pt idx="161">
                  <c:v>0.15452594694759442</c:v>
                </c:pt>
                <c:pt idx="162">
                  <c:v>0.16085235075975254</c:v>
                </c:pt>
                <c:pt idx="163">
                  <c:v>0.16482347540804002</c:v>
                </c:pt>
                <c:pt idx="164">
                  <c:v>0.15981908709705339</c:v>
                </c:pt>
                <c:pt idx="165">
                  <c:v>0.15867254336648068</c:v>
                </c:pt>
                <c:pt idx="166">
                  <c:v>0.15944931353187525</c:v>
                </c:pt>
                <c:pt idx="167">
                  <c:v>0.15814135219538997</c:v>
                </c:pt>
                <c:pt idx="168">
                  <c:v>0.14391016254379588</c:v>
                </c:pt>
                <c:pt idx="169">
                  <c:v>0.1469966671699344</c:v>
                </c:pt>
                <c:pt idx="170">
                  <c:v>0.15713917716755821</c:v>
                </c:pt>
                <c:pt idx="171">
                  <c:v>0.15469505376962098</c:v>
                </c:pt>
                <c:pt idx="172">
                  <c:v>0.15274945868553252</c:v>
                </c:pt>
                <c:pt idx="173">
                  <c:v>0.15248848177577409</c:v>
                </c:pt>
                <c:pt idx="174">
                  <c:v>0.16003032212565432</c:v>
                </c:pt>
                <c:pt idx="175">
                  <c:v>0.15995192965423552</c:v>
                </c:pt>
                <c:pt idx="176">
                  <c:v>0.15789373595933448</c:v>
                </c:pt>
                <c:pt idx="177">
                  <c:v>0.16132470809619673</c:v>
                </c:pt>
                <c:pt idx="178">
                  <c:v>0.15293336844704389</c:v>
                </c:pt>
                <c:pt idx="179">
                  <c:v>0.15263146113295981</c:v>
                </c:pt>
                <c:pt idx="180">
                  <c:v>0.1214351478880512</c:v>
                </c:pt>
                <c:pt idx="181">
                  <c:v>0.11769938527601587</c:v>
                </c:pt>
                <c:pt idx="182">
                  <c:v>0.11801259797486451</c:v>
                </c:pt>
                <c:pt idx="183">
                  <c:v>0.12040834477559892</c:v>
                </c:pt>
                <c:pt idx="184">
                  <c:v>0.12598051758261414</c:v>
                </c:pt>
                <c:pt idx="185">
                  <c:v>0.13622533565715361</c:v>
                </c:pt>
                <c:pt idx="186">
                  <c:v>0.13674966152223203</c:v>
                </c:pt>
                <c:pt idx="187">
                  <c:v>0.13718879377709489</c:v>
                </c:pt>
                <c:pt idx="188">
                  <c:v>0.13939051332475469</c:v>
                </c:pt>
                <c:pt idx="189">
                  <c:v>0.13891554646612078</c:v>
                </c:pt>
                <c:pt idx="190">
                  <c:v>0.19178283466258048</c:v>
                </c:pt>
                <c:pt idx="191">
                  <c:v>0.19069342973573766</c:v>
                </c:pt>
                <c:pt idx="192">
                  <c:v>0.19264972327202368</c:v>
                </c:pt>
                <c:pt idx="193">
                  <c:v>0.19452329179633282</c:v>
                </c:pt>
                <c:pt idx="194">
                  <c:v>0.18574270191290537</c:v>
                </c:pt>
                <c:pt idx="195">
                  <c:v>0.18760597954502395</c:v>
                </c:pt>
                <c:pt idx="196">
                  <c:v>0.18792844686420659</c:v>
                </c:pt>
                <c:pt idx="197">
                  <c:v>0.18724239873471704</c:v>
                </c:pt>
                <c:pt idx="198">
                  <c:v>0.188696858917482</c:v>
                </c:pt>
                <c:pt idx="199">
                  <c:v>0.19106268208556859</c:v>
                </c:pt>
                <c:pt idx="200">
                  <c:v>0.18259154879994002</c:v>
                </c:pt>
                <c:pt idx="201">
                  <c:v>0.19343093970741079</c:v>
                </c:pt>
                <c:pt idx="202">
                  <c:v>0.21871153909449736</c:v>
                </c:pt>
                <c:pt idx="203">
                  <c:v>0.21777242005180367</c:v>
                </c:pt>
                <c:pt idx="204">
                  <c:v>0.22749394656371014</c:v>
                </c:pt>
                <c:pt idx="205">
                  <c:v>0.22035882821144698</c:v>
                </c:pt>
                <c:pt idx="206">
                  <c:v>0.21624171732499936</c:v>
                </c:pt>
                <c:pt idx="207">
                  <c:v>0.21649781140051647</c:v>
                </c:pt>
                <c:pt idx="208">
                  <c:v>0.22224579186541912</c:v>
                </c:pt>
                <c:pt idx="209">
                  <c:v>0.22542439065001066</c:v>
                </c:pt>
                <c:pt idx="210">
                  <c:v>0.17476235328286341</c:v>
                </c:pt>
                <c:pt idx="211">
                  <c:v>0.17482734600234259</c:v>
                </c:pt>
                <c:pt idx="212">
                  <c:v>0.16902657461554485</c:v>
                </c:pt>
                <c:pt idx="213">
                  <c:v>0.16363916087757929</c:v>
                </c:pt>
                <c:pt idx="214">
                  <c:v>0.16145338344593152</c:v>
                </c:pt>
                <c:pt idx="215">
                  <c:v>0.18026814492890733</c:v>
                </c:pt>
                <c:pt idx="216">
                  <c:v>0.18045311762045665</c:v>
                </c:pt>
                <c:pt idx="217">
                  <c:v>0.19380688024922157</c:v>
                </c:pt>
                <c:pt idx="218">
                  <c:v>0.19410676353855139</c:v>
                </c:pt>
                <c:pt idx="219">
                  <c:v>0.19458340589084794</c:v>
                </c:pt>
                <c:pt idx="220">
                  <c:v>0.19741247041860865</c:v>
                </c:pt>
                <c:pt idx="221">
                  <c:v>0.17844259163939066</c:v>
                </c:pt>
                <c:pt idx="222">
                  <c:v>0.16029230951153786</c:v>
                </c:pt>
                <c:pt idx="223">
                  <c:v>0.15809017542157558</c:v>
                </c:pt>
                <c:pt idx="224">
                  <c:v>0.15105145541642739</c:v>
                </c:pt>
                <c:pt idx="225">
                  <c:v>0.15655292574867805</c:v>
                </c:pt>
                <c:pt idx="226">
                  <c:v>0.15096951876339168</c:v>
                </c:pt>
                <c:pt idx="227">
                  <c:v>0.15132316198382501</c:v>
                </c:pt>
                <c:pt idx="228">
                  <c:v>0.1488767973336089</c:v>
                </c:pt>
                <c:pt idx="229">
                  <c:v>0.1620963521347073</c:v>
                </c:pt>
                <c:pt idx="230">
                  <c:v>0.16094641839311241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F-7A4C-A9BF-D5D3A283B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322496"/>
        <c:axId val="1898321600"/>
      </c:lineChart>
      <c:catAx>
        <c:axId val="189832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Day 2023 (obs 20–250)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21600"/>
        <c:crosses val="autoZero"/>
        <c:auto val="1"/>
        <c:lblAlgn val="ctr"/>
        <c:lblOffset val="100"/>
        <c:noMultiLvlLbl val="0"/>
      </c:catAx>
      <c:valAx>
        <c:axId val="189832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Annualised Vol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3224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 Vol vs GARCH(1,1) Vol — Same Story, Smarter Model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 20-Day Vol (%)</c:v>
          </c:tx>
          <c:spPr>
            <a:ln w="28575" cap="rnd">
              <a:solidFill>
                <a:srgbClr val="1B3A6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MOTIVATION'!$E$23:$E$253</c:f>
              <c:numCache>
                <c:formatCode>0.0%</c:formatCode>
                <c:ptCount val="231"/>
                <c:pt idx="0">
                  <c:v>0.15961503052218803</c:v>
                </c:pt>
                <c:pt idx="1">
                  <c:v>0.17054678033700491</c:v>
                </c:pt>
                <c:pt idx="2">
                  <c:v>0.17059982725154951</c:v>
                </c:pt>
                <c:pt idx="3">
                  <c:v>0.16829581470076482</c:v>
                </c:pt>
                <c:pt idx="4">
                  <c:v>0.16006431392373044</c:v>
                </c:pt>
                <c:pt idx="5">
                  <c:v>0.16032062248407411</c:v>
                </c:pt>
                <c:pt idx="6">
                  <c:v>0.16108239810406105</c:v>
                </c:pt>
                <c:pt idx="7">
                  <c:v>0.1480514005403625</c:v>
                </c:pt>
                <c:pt idx="8">
                  <c:v>0.14351526836741321</c:v>
                </c:pt>
                <c:pt idx="9">
                  <c:v>0.14360751656201401</c:v>
                </c:pt>
                <c:pt idx="10">
                  <c:v>0.1388438331011739</c:v>
                </c:pt>
                <c:pt idx="11">
                  <c:v>0.1388316361571354</c:v>
                </c:pt>
                <c:pt idx="12">
                  <c:v>0.16188181598007637</c:v>
                </c:pt>
                <c:pt idx="13">
                  <c:v>0.16078984730287901</c:v>
                </c:pt>
                <c:pt idx="14">
                  <c:v>0.15205573675045819</c:v>
                </c:pt>
                <c:pt idx="15">
                  <c:v>0.14436149844575158</c:v>
                </c:pt>
                <c:pt idx="16">
                  <c:v>0.14898644123245286</c:v>
                </c:pt>
                <c:pt idx="17">
                  <c:v>0.14728780220293486</c:v>
                </c:pt>
                <c:pt idx="18">
                  <c:v>0.15757167162354208</c:v>
                </c:pt>
                <c:pt idx="19">
                  <c:v>0.16271874554813059</c:v>
                </c:pt>
                <c:pt idx="20">
                  <c:v>0.1584674023973229</c:v>
                </c:pt>
                <c:pt idx="21">
                  <c:v>0.1468645735483147</c:v>
                </c:pt>
                <c:pt idx="22">
                  <c:v>0.14791366578851065</c:v>
                </c:pt>
                <c:pt idx="23">
                  <c:v>0.14747940162531464</c:v>
                </c:pt>
                <c:pt idx="24">
                  <c:v>0.14173295335172967</c:v>
                </c:pt>
                <c:pt idx="25">
                  <c:v>0.14835816250735412</c:v>
                </c:pt>
                <c:pt idx="26">
                  <c:v>0.14859628847221246</c:v>
                </c:pt>
                <c:pt idx="27">
                  <c:v>0.14573380615425321</c:v>
                </c:pt>
                <c:pt idx="28">
                  <c:v>0.15126014881189687</c:v>
                </c:pt>
                <c:pt idx="29">
                  <c:v>0.15222143735073337</c:v>
                </c:pt>
                <c:pt idx="30">
                  <c:v>0.16097277292275075</c:v>
                </c:pt>
                <c:pt idx="31">
                  <c:v>0.16229311174365585</c:v>
                </c:pt>
                <c:pt idx="32">
                  <c:v>0.14292398564137385</c:v>
                </c:pt>
                <c:pt idx="33">
                  <c:v>0.14274770031230527</c:v>
                </c:pt>
                <c:pt idx="34">
                  <c:v>0.14552776904656523</c:v>
                </c:pt>
                <c:pt idx="35">
                  <c:v>0.14711128209013902</c:v>
                </c:pt>
                <c:pt idx="36">
                  <c:v>0.14882066007553083</c:v>
                </c:pt>
                <c:pt idx="37">
                  <c:v>0.15003231667615943</c:v>
                </c:pt>
                <c:pt idx="38">
                  <c:v>0.13653315894075091</c:v>
                </c:pt>
                <c:pt idx="39">
                  <c:v>0.1265169079986348</c:v>
                </c:pt>
                <c:pt idx="40">
                  <c:v>0.13154264099783974</c:v>
                </c:pt>
                <c:pt idx="41">
                  <c:v>0.12960322814784594</c:v>
                </c:pt>
                <c:pt idx="42">
                  <c:v>0.1292545118989416</c:v>
                </c:pt>
                <c:pt idx="43">
                  <c:v>0.13406969066910185</c:v>
                </c:pt>
                <c:pt idx="44">
                  <c:v>0.13978798005268639</c:v>
                </c:pt>
                <c:pt idx="45">
                  <c:v>0.13569359367983122</c:v>
                </c:pt>
                <c:pt idx="46">
                  <c:v>0.14348575817209391</c:v>
                </c:pt>
                <c:pt idx="47">
                  <c:v>0.14238289849362293</c:v>
                </c:pt>
                <c:pt idx="48">
                  <c:v>0.14223163598759167</c:v>
                </c:pt>
                <c:pt idx="49">
                  <c:v>0.14232252603058923</c:v>
                </c:pt>
                <c:pt idx="50">
                  <c:v>0.12950626887396521</c:v>
                </c:pt>
                <c:pt idx="51">
                  <c:v>0.12951224652918694</c:v>
                </c:pt>
                <c:pt idx="52">
                  <c:v>0.137458183739288</c:v>
                </c:pt>
                <c:pt idx="53">
                  <c:v>0.13404774647054565</c:v>
                </c:pt>
                <c:pt idx="54">
                  <c:v>0.14134975607128578</c:v>
                </c:pt>
                <c:pt idx="55">
                  <c:v>0.17934015855327606</c:v>
                </c:pt>
                <c:pt idx="56">
                  <c:v>0.17976779564312975</c:v>
                </c:pt>
                <c:pt idx="57">
                  <c:v>0.17611023651026</c:v>
                </c:pt>
                <c:pt idx="58">
                  <c:v>0.17598808929457452</c:v>
                </c:pt>
                <c:pt idx="59">
                  <c:v>0.17582279865797745</c:v>
                </c:pt>
                <c:pt idx="60">
                  <c:v>0.18672343854539036</c:v>
                </c:pt>
                <c:pt idx="61">
                  <c:v>0.18601540188169624</c:v>
                </c:pt>
                <c:pt idx="62">
                  <c:v>0.18631887796752453</c:v>
                </c:pt>
                <c:pt idx="63">
                  <c:v>0.18880975524347005</c:v>
                </c:pt>
                <c:pt idx="64">
                  <c:v>0.18350092756475403</c:v>
                </c:pt>
                <c:pt idx="65">
                  <c:v>0.18462005691690908</c:v>
                </c:pt>
                <c:pt idx="66">
                  <c:v>0.17845930639640234</c:v>
                </c:pt>
                <c:pt idx="67">
                  <c:v>0.18126087185425871</c:v>
                </c:pt>
                <c:pt idx="68">
                  <c:v>0.17807289714077262</c:v>
                </c:pt>
                <c:pt idx="69">
                  <c:v>0.17854240535579879</c:v>
                </c:pt>
                <c:pt idx="70">
                  <c:v>0.17819208129973227</c:v>
                </c:pt>
                <c:pt idx="71">
                  <c:v>0.17772149166043535</c:v>
                </c:pt>
                <c:pt idx="72">
                  <c:v>0.17237351523614192</c:v>
                </c:pt>
                <c:pt idx="73">
                  <c:v>0.17429632681355339</c:v>
                </c:pt>
                <c:pt idx="74">
                  <c:v>0.163848333987829</c:v>
                </c:pt>
                <c:pt idx="75">
                  <c:v>0.12610236806797892</c:v>
                </c:pt>
                <c:pt idx="76">
                  <c:v>0.12903952147720649</c:v>
                </c:pt>
                <c:pt idx="77">
                  <c:v>0.12993868780762988</c:v>
                </c:pt>
                <c:pt idx="78">
                  <c:v>0.13059448591695311</c:v>
                </c:pt>
                <c:pt idx="79">
                  <c:v>0.13044935918465544</c:v>
                </c:pt>
                <c:pt idx="80">
                  <c:v>0.11181529464932145</c:v>
                </c:pt>
                <c:pt idx="81">
                  <c:v>0.12149785101075283</c:v>
                </c:pt>
                <c:pt idx="82">
                  <c:v>0.12105474198230046</c:v>
                </c:pt>
                <c:pt idx="83">
                  <c:v>0.10426585461090601</c:v>
                </c:pt>
                <c:pt idx="84">
                  <c:v>0.10546596620495292</c:v>
                </c:pt>
                <c:pt idx="85">
                  <c:v>0.10337389570735044</c:v>
                </c:pt>
                <c:pt idx="86">
                  <c:v>0.10451786621925017</c:v>
                </c:pt>
                <c:pt idx="87">
                  <c:v>0.12080876180884045</c:v>
                </c:pt>
                <c:pt idx="88">
                  <c:v>0.12020067994662047</c:v>
                </c:pt>
                <c:pt idx="89">
                  <c:v>0.11971678313147481</c:v>
                </c:pt>
                <c:pt idx="90">
                  <c:v>0.1175094845237639</c:v>
                </c:pt>
                <c:pt idx="91">
                  <c:v>0.13116278996991482</c:v>
                </c:pt>
                <c:pt idx="92">
                  <c:v>0.12424860786658112</c:v>
                </c:pt>
                <c:pt idx="93">
                  <c:v>0.12320991078011646</c:v>
                </c:pt>
                <c:pt idx="94">
                  <c:v>0.15122932621317253</c:v>
                </c:pt>
                <c:pt idx="95">
                  <c:v>0.15093820024153193</c:v>
                </c:pt>
                <c:pt idx="96">
                  <c:v>0.14179830965390733</c:v>
                </c:pt>
                <c:pt idx="97">
                  <c:v>0.14130954088992337</c:v>
                </c:pt>
                <c:pt idx="98">
                  <c:v>0.14762153627742419</c:v>
                </c:pt>
                <c:pt idx="99">
                  <c:v>0.19855301526384816</c:v>
                </c:pt>
                <c:pt idx="100">
                  <c:v>0.20249803998270088</c:v>
                </c:pt>
                <c:pt idx="101">
                  <c:v>0.21428613209679834</c:v>
                </c:pt>
                <c:pt idx="102">
                  <c:v>0.21835309233456004</c:v>
                </c:pt>
                <c:pt idx="103">
                  <c:v>0.26866678470866984</c:v>
                </c:pt>
                <c:pt idx="104">
                  <c:v>0.27867901541732271</c:v>
                </c:pt>
                <c:pt idx="105">
                  <c:v>0.28680715989095573</c:v>
                </c:pt>
                <c:pt idx="106">
                  <c:v>0.30441932521163351</c:v>
                </c:pt>
                <c:pt idx="107">
                  <c:v>0.31519009940123077</c:v>
                </c:pt>
                <c:pt idx="108">
                  <c:v>0.31467225170021751</c:v>
                </c:pt>
                <c:pt idx="109">
                  <c:v>0.3142970338434507</c:v>
                </c:pt>
                <c:pt idx="110">
                  <c:v>0.31408000842502903</c:v>
                </c:pt>
                <c:pt idx="111">
                  <c:v>0.31327347668552019</c:v>
                </c:pt>
                <c:pt idx="112">
                  <c:v>0.31346479655899406</c:v>
                </c:pt>
                <c:pt idx="113">
                  <c:v>0.31370980423293293</c:v>
                </c:pt>
                <c:pt idx="114">
                  <c:v>0.29912513478414099</c:v>
                </c:pt>
                <c:pt idx="115">
                  <c:v>0.29920050159271949</c:v>
                </c:pt>
                <c:pt idx="116">
                  <c:v>0.3075393862043086</c:v>
                </c:pt>
                <c:pt idx="117">
                  <c:v>0.30723296553835744</c:v>
                </c:pt>
                <c:pt idx="118">
                  <c:v>0.30015217285488066</c:v>
                </c:pt>
                <c:pt idx="119">
                  <c:v>0.28139348596397273</c:v>
                </c:pt>
                <c:pt idx="120">
                  <c:v>0.2780604085383595</c:v>
                </c:pt>
                <c:pt idx="121">
                  <c:v>0.27007992756308419</c:v>
                </c:pt>
                <c:pt idx="122">
                  <c:v>0.27182156245340344</c:v>
                </c:pt>
                <c:pt idx="123">
                  <c:v>0.23246280622465157</c:v>
                </c:pt>
                <c:pt idx="124">
                  <c:v>0.218571026634715</c:v>
                </c:pt>
                <c:pt idx="125">
                  <c:v>0.21005964345279043</c:v>
                </c:pt>
                <c:pt idx="126">
                  <c:v>0.18380962583832697</c:v>
                </c:pt>
                <c:pt idx="127">
                  <c:v>0.15340589711887331</c:v>
                </c:pt>
                <c:pt idx="128">
                  <c:v>0.15854426341366612</c:v>
                </c:pt>
                <c:pt idx="129">
                  <c:v>0.16105407481856709</c:v>
                </c:pt>
                <c:pt idx="130">
                  <c:v>0.16183239024794202</c:v>
                </c:pt>
                <c:pt idx="131">
                  <c:v>0.1534569317092678</c:v>
                </c:pt>
                <c:pt idx="132">
                  <c:v>0.15416427016241271</c:v>
                </c:pt>
                <c:pt idx="133">
                  <c:v>0.15202534877984702</c:v>
                </c:pt>
                <c:pt idx="134">
                  <c:v>0.15104229825954288</c:v>
                </c:pt>
                <c:pt idx="135">
                  <c:v>0.14819834904200796</c:v>
                </c:pt>
                <c:pt idx="136">
                  <c:v>0.13728612043962563</c:v>
                </c:pt>
                <c:pt idx="137">
                  <c:v>0.15287262998227008</c:v>
                </c:pt>
                <c:pt idx="138">
                  <c:v>0.15363716691055992</c:v>
                </c:pt>
                <c:pt idx="139">
                  <c:v>0.15722203216095323</c:v>
                </c:pt>
                <c:pt idx="140">
                  <c:v>0.1520577982633893</c:v>
                </c:pt>
                <c:pt idx="141">
                  <c:v>0.1564313809912832</c:v>
                </c:pt>
                <c:pt idx="142">
                  <c:v>0.15162067514923561</c:v>
                </c:pt>
                <c:pt idx="143">
                  <c:v>0.14381954897395965</c:v>
                </c:pt>
                <c:pt idx="144">
                  <c:v>0.14788348791703204</c:v>
                </c:pt>
                <c:pt idx="145">
                  <c:v>0.15152057381390291</c:v>
                </c:pt>
                <c:pt idx="146">
                  <c:v>0.15016643206723432</c:v>
                </c:pt>
                <c:pt idx="147">
                  <c:v>0.14273022826320669</c:v>
                </c:pt>
                <c:pt idx="148">
                  <c:v>0.14357441139895527</c:v>
                </c:pt>
                <c:pt idx="149">
                  <c:v>0.1450562711854945</c:v>
                </c:pt>
                <c:pt idx="150">
                  <c:v>0.14965031450775604</c:v>
                </c:pt>
                <c:pt idx="151">
                  <c:v>0.15516310470314759</c:v>
                </c:pt>
                <c:pt idx="152">
                  <c:v>0.15951106917379976</c:v>
                </c:pt>
                <c:pt idx="153">
                  <c:v>0.15660967482469465</c:v>
                </c:pt>
                <c:pt idx="154">
                  <c:v>0.15669893841017116</c:v>
                </c:pt>
                <c:pt idx="155">
                  <c:v>0.15667766975253442</c:v>
                </c:pt>
                <c:pt idx="156">
                  <c:v>0.15453321773792686</c:v>
                </c:pt>
                <c:pt idx="157">
                  <c:v>0.14123036293189448</c:v>
                </c:pt>
                <c:pt idx="158">
                  <c:v>0.1475814796445476</c:v>
                </c:pt>
                <c:pt idx="159">
                  <c:v>0.13891206252669111</c:v>
                </c:pt>
                <c:pt idx="160">
                  <c:v>0.16219553608788406</c:v>
                </c:pt>
                <c:pt idx="161">
                  <c:v>0.15452594694759442</c:v>
                </c:pt>
                <c:pt idx="162">
                  <c:v>0.16085235075975254</c:v>
                </c:pt>
                <c:pt idx="163">
                  <c:v>0.16482347540804002</c:v>
                </c:pt>
                <c:pt idx="164">
                  <c:v>0.15981908709705339</c:v>
                </c:pt>
                <c:pt idx="165">
                  <c:v>0.15867254336648068</c:v>
                </c:pt>
                <c:pt idx="166">
                  <c:v>0.15944931353187525</c:v>
                </c:pt>
                <c:pt idx="167">
                  <c:v>0.15814135219538997</c:v>
                </c:pt>
                <c:pt idx="168">
                  <c:v>0.14391016254379588</c:v>
                </c:pt>
                <c:pt idx="169">
                  <c:v>0.1469966671699344</c:v>
                </c:pt>
                <c:pt idx="170">
                  <c:v>0.15713917716755821</c:v>
                </c:pt>
                <c:pt idx="171">
                  <c:v>0.15469505376962098</c:v>
                </c:pt>
                <c:pt idx="172">
                  <c:v>0.15274945868553252</c:v>
                </c:pt>
                <c:pt idx="173">
                  <c:v>0.15248848177577409</c:v>
                </c:pt>
                <c:pt idx="174">
                  <c:v>0.16003032212565432</c:v>
                </c:pt>
                <c:pt idx="175">
                  <c:v>0.15995192965423552</c:v>
                </c:pt>
                <c:pt idx="176">
                  <c:v>0.15789373595933448</c:v>
                </c:pt>
                <c:pt idx="177">
                  <c:v>0.16132470809619673</c:v>
                </c:pt>
                <c:pt idx="178">
                  <c:v>0.15293336844704389</c:v>
                </c:pt>
                <c:pt idx="179">
                  <c:v>0.15263146113295981</c:v>
                </c:pt>
                <c:pt idx="180">
                  <c:v>0.1214351478880512</c:v>
                </c:pt>
                <c:pt idx="181">
                  <c:v>0.11769938527601587</c:v>
                </c:pt>
                <c:pt idx="182">
                  <c:v>0.11801259797486451</c:v>
                </c:pt>
                <c:pt idx="183">
                  <c:v>0.12040834477559892</c:v>
                </c:pt>
                <c:pt idx="184">
                  <c:v>0.12598051758261414</c:v>
                </c:pt>
                <c:pt idx="185">
                  <c:v>0.13622533565715361</c:v>
                </c:pt>
                <c:pt idx="186">
                  <c:v>0.13674966152223203</c:v>
                </c:pt>
                <c:pt idx="187">
                  <c:v>0.13718879377709489</c:v>
                </c:pt>
                <c:pt idx="188">
                  <c:v>0.13939051332475469</c:v>
                </c:pt>
                <c:pt idx="189">
                  <c:v>0.13891554646612078</c:v>
                </c:pt>
                <c:pt idx="190">
                  <c:v>0.19178283466258048</c:v>
                </c:pt>
                <c:pt idx="191">
                  <c:v>0.19069342973573766</c:v>
                </c:pt>
                <c:pt idx="192">
                  <c:v>0.19264972327202368</c:v>
                </c:pt>
                <c:pt idx="193">
                  <c:v>0.19452329179633282</c:v>
                </c:pt>
                <c:pt idx="194">
                  <c:v>0.18574270191290537</c:v>
                </c:pt>
                <c:pt idx="195">
                  <c:v>0.18760597954502395</c:v>
                </c:pt>
                <c:pt idx="196">
                  <c:v>0.18792844686420659</c:v>
                </c:pt>
                <c:pt idx="197">
                  <c:v>0.18724239873471704</c:v>
                </c:pt>
                <c:pt idx="198">
                  <c:v>0.188696858917482</c:v>
                </c:pt>
                <c:pt idx="199">
                  <c:v>0.19106268208556859</c:v>
                </c:pt>
                <c:pt idx="200">
                  <c:v>0.18259154879994002</c:v>
                </c:pt>
                <c:pt idx="201">
                  <c:v>0.19343093970741079</c:v>
                </c:pt>
                <c:pt idx="202">
                  <c:v>0.21871153909449736</c:v>
                </c:pt>
                <c:pt idx="203">
                  <c:v>0.21777242005180367</c:v>
                </c:pt>
                <c:pt idx="204">
                  <c:v>0.22749394656371014</c:v>
                </c:pt>
                <c:pt idx="205">
                  <c:v>0.22035882821144698</c:v>
                </c:pt>
                <c:pt idx="206">
                  <c:v>0.21624171732499936</c:v>
                </c:pt>
                <c:pt idx="207">
                  <c:v>0.21649781140051647</c:v>
                </c:pt>
                <c:pt idx="208">
                  <c:v>0.22224579186541912</c:v>
                </c:pt>
                <c:pt idx="209">
                  <c:v>0.22542439065001066</c:v>
                </c:pt>
                <c:pt idx="210">
                  <c:v>0.17476235328286341</c:v>
                </c:pt>
                <c:pt idx="211">
                  <c:v>0.17482734600234259</c:v>
                </c:pt>
                <c:pt idx="212">
                  <c:v>0.16902657461554485</c:v>
                </c:pt>
                <c:pt idx="213">
                  <c:v>0.16363916087757929</c:v>
                </c:pt>
                <c:pt idx="214">
                  <c:v>0.16145338344593152</c:v>
                </c:pt>
                <c:pt idx="215">
                  <c:v>0.18026814492890733</c:v>
                </c:pt>
                <c:pt idx="216">
                  <c:v>0.18045311762045665</c:v>
                </c:pt>
                <c:pt idx="217">
                  <c:v>0.19380688024922157</c:v>
                </c:pt>
                <c:pt idx="218">
                  <c:v>0.19410676353855139</c:v>
                </c:pt>
                <c:pt idx="219">
                  <c:v>0.19458340589084794</c:v>
                </c:pt>
                <c:pt idx="220">
                  <c:v>0.19741247041860865</c:v>
                </c:pt>
                <c:pt idx="221">
                  <c:v>0.17844259163939066</c:v>
                </c:pt>
                <c:pt idx="222">
                  <c:v>0.16029230951153786</c:v>
                </c:pt>
                <c:pt idx="223">
                  <c:v>0.15809017542157558</c:v>
                </c:pt>
                <c:pt idx="224">
                  <c:v>0.15105145541642739</c:v>
                </c:pt>
                <c:pt idx="225">
                  <c:v>0.15655292574867805</c:v>
                </c:pt>
                <c:pt idx="226">
                  <c:v>0.15096951876339168</c:v>
                </c:pt>
                <c:pt idx="227">
                  <c:v>0.15132316198382501</c:v>
                </c:pt>
                <c:pt idx="228">
                  <c:v>0.1488767973336089</c:v>
                </c:pt>
                <c:pt idx="229">
                  <c:v>0.1620963521347073</c:v>
                </c:pt>
                <c:pt idx="230">
                  <c:v>0.16094641839311241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B-254C-A764-3539E8FAF1BF}"/>
            </c:ext>
          </c:extLst>
        </c:ser>
        <c:ser>
          <c:idx val="1"/>
          <c:order val="1"/>
          <c:tx>
            <c:v>GARCH(1,1) Annualised Vol (%)</c:v>
          </c:tx>
          <c:spPr>
            <a:ln w="28575" cap="rnd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MOTIVATION'!$L$4:$L$253</c:f>
              <c:numCache>
                <c:formatCode>0%</c:formatCode>
                <c:ptCount val="250"/>
                <c:pt idx="0">
                  <c:v>0.12296340919151513</c:v>
                </c:pt>
                <c:pt idx="1">
                  <c:v>0.12033586085224063</c:v>
                </c:pt>
                <c:pt idx="2">
                  <c:v>0.11446217782632308</c:v>
                </c:pt>
                <c:pt idx="3">
                  <c:v>0.11407777208688191</c:v>
                </c:pt>
                <c:pt idx="4">
                  <c:v>0.13535802100445771</c:v>
                </c:pt>
                <c:pt idx="5">
                  <c:v>0.12837986787789318</c:v>
                </c:pt>
                <c:pt idx="6">
                  <c:v>0.12193079642545461</c:v>
                </c:pt>
                <c:pt idx="7">
                  <c:v>0.13899136786103852</c:v>
                </c:pt>
                <c:pt idx="8">
                  <c:v>0.13842562029182442</c:v>
                </c:pt>
                <c:pt idx="9">
                  <c:v>0.13277517635554506</c:v>
                </c:pt>
                <c:pt idx="10">
                  <c:v>0.1284780515386863</c:v>
                </c:pt>
                <c:pt idx="11">
                  <c:v>0.12349294523844839</c:v>
                </c:pt>
                <c:pt idx="12">
                  <c:v>0.11902176073315518</c:v>
                </c:pt>
                <c:pt idx="13">
                  <c:v>0.11387351714972446</c:v>
                </c:pt>
                <c:pt idx="14">
                  <c:v>0.14505282204747474</c:v>
                </c:pt>
                <c:pt idx="15">
                  <c:v>0.1708801467984708</c:v>
                </c:pt>
                <c:pt idx="16">
                  <c:v>0.16319701985284549</c:v>
                </c:pt>
                <c:pt idx="17">
                  <c:v>0.16066489597390204</c:v>
                </c:pt>
                <c:pt idx="18">
                  <c:v>0.15174760864268408</c:v>
                </c:pt>
                <c:pt idx="19">
                  <c:v>0.14919682331432638</c:v>
                </c:pt>
                <c:pt idx="20">
                  <c:v>0.15746349133422258</c:v>
                </c:pt>
                <c:pt idx="21">
                  <c:v>0.16971649751737217</c:v>
                </c:pt>
                <c:pt idx="22">
                  <c:v>0.15929753312876957</c:v>
                </c:pt>
                <c:pt idx="23">
                  <c:v>0.14949075443676707</c:v>
                </c:pt>
                <c:pt idx="24">
                  <c:v>0.15632303929490954</c:v>
                </c:pt>
                <c:pt idx="25">
                  <c:v>0.1493834449596067</c:v>
                </c:pt>
                <c:pt idx="26">
                  <c:v>0.14061461582694665</c:v>
                </c:pt>
                <c:pt idx="27">
                  <c:v>0.14359970466015617</c:v>
                </c:pt>
                <c:pt idx="28">
                  <c:v>0.1369568341234258</c:v>
                </c:pt>
                <c:pt idx="29">
                  <c:v>0.13264944017370808</c:v>
                </c:pt>
                <c:pt idx="30">
                  <c:v>0.12611617792624308</c:v>
                </c:pt>
                <c:pt idx="31">
                  <c:v>0.12260056382876773</c:v>
                </c:pt>
                <c:pt idx="32">
                  <c:v>0.14856240124235048</c:v>
                </c:pt>
                <c:pt idx="33">
                  <c:v>0.13970097725292585</c:v>
                </c:pt>
                <c:pt idx="34">
                  <c:v>0.13982459097583799</c:v>
                </c:pt>
                <c:pt idx="35">
                  <c:v>0.13947256223325674</c:v>
                </c:pt>
                <c:pt idx="36">
                  <c:v>0.14722352835632674</c:v>
                </c:pt>
                <c:pt idx="37">
                  <c:v>0.13909914805261883</c:v>
                </c:pt>
                <c:pt idx="38">
                  <c:v>0.16160107191117709</c:v>
                </c:pt>
                <c:pt idx="39">
                  <c:v>0.17048940566214743</c:v>
                </c:pt>
                <c:pt idx="40">
                  <c:v>0.16005814554162556</c:v>
                </c:pt>
                <c:pt idx="41">
                  <c:v>0.15482097787979962</c:v>
                </c:pt>
                <c:pt idx="42">
                  <c:v>0.14574904665307017</c:v>
                </c:pt>
                <c:pt idx="43">
                  <c:v>0.13722417684922536</c:v>
                </c:pt>
                <c:pt idx="44">
                  <c:v>0.1302060232003453</c:v>
                </c:pt>
                <c:pt idx="45">
                  <c:v>0.14396079437425477</c:v>
                </c:pt>
                <c:pt idx="46">
                  <c:v>0.14092399028193023</c:v>
                </c:pt>
                <c:pt idx="47">
                  <c:v>0.1345991338529243</c:v>
                </c:pt>
                <c:pt idx="48">
                  <c:v>0.13762100696021035</c:v>
                </c:pt>
                <c:pt idx="49">
                  <c:v>0.13123431618567025</c:v>
                </c:pt>
                <c:pt idx="50">
                  <c:v>0.14969271405977297</c:v>
                </c:pt>
                <c:pt idx="51">
                  <c:v>0.14217563645421225</c:v>
                </c:pt>
                <c:pt idx="52">
                  <c:v>0.13503626519501633</c:v>
                </c:pt>
                <c:pt idx="53">
                  <c:v>0.13141625956997416</c:v>
                </c:pt>
                <c:pt idx="54">
                  <c:v>0.12877135194998085</c:v>
                </c:pt>
                <c:pt idx="55">
                  <c:v>0.13272736634214058</c:v>
                </c:pt>
                <c:pt idx="56">
                  <c:v>0.13616869227249145</c:v>
                </c:pt>
                <c:pt idx="57">
                  <c:v>0.13562080177387853</c:v>
                </c:pt>
                <c:pt idx="58">
                  <c:v>0.12884469347853161</c:v>
                </c:pt>
                <c:pt idx="59">
                  <c:v>0.12325861259072679</c:v>
                </c:pt>
                <c:pt idx="60">
                  <c:v>0.1274232430902065</c:v>
                </c:pt>
                <c:pt idx="61">
                  <c:v>0.12328942984741285</c:v>
                </c:pt>
                <c:pt idx="62">
                  <c:v>0.11724072335063557</c:v>
                </c:pt>
                <c:pt idx="63">
                  <c:v>0.12400133692120346</c:v>
                </c:pt>
                <c:pt idx="64">
                  <c:v>0.1331495690872008</c:v>
                </c:pt>
                <c:pt idx="65">
                  <c:v>0.13362329184852439</c:v>
                </c:pt>
                <c:pt idx="66">
                  <c:v>0.14684186868180599</c:v>
                </c:pt>
                <c:pt idx="67">
                  <c:v>0.13817650234006834</c:v>
                </c:pt>
                <c:pt idx="68">
                  <c:v>0.14028818319974637</c:v>
                </c:pt>
                <c:pt idx="69">
                  <c:v>0.13384054681251795</c:v>
                </c:pt>
                <c:pt idx="70">
                  <c:v>0.13009986632512188</c:v>
                </c:pt>
                <c:pt idx="71">
                  <c:v>0.12473410708306501</c:v>
                </c:pt>
                <c:pt idx="72">
                  <c:v>0.14139619110973131</c:v>
                </c:pt>
                <c:pt idx="73">
                  <c:v>0.13323181733750616</c:v>
                </c:pt>
                <c:pt idx="74">
                  <c:v>0.14854502515445112</c:v>
                </c:pt>
                <c:pt idx="75">
                  <c:v>0.20346374314133256</c:v>
                </c:pt>
                <c:pt idx="76">
                  <c:v>0.19768065039193189</c:v>
                </c:pt>
                <c:pt idx="77">
                  <c:v>0.18441684889694543</c:v>
                </c:pt>
                <c:pt idx="78">
                  <c:v>0.17269312713052198</c:v>
                </c:pt>
                <c:pt idx="79">
                  <c:v>0.16168443533542501</c:v>
                </c:pt>
                <c:pt idx="80">
                  <c:v>0.17897355324929123</c:v>
                </c:pt>
                <c:pt idx="81">
                  <c:v>0.16771819084240142</c:v>
                </c:pt>
                <c:pt idx="82">
                  <c:v>0.15815840602137363</c:v>
                </c:pt>
                <c:pt idx="83">
                  <c:v>0.16761992551734597</c:v>
                </c:pt>
                <c:pt idx="84">
                  <c:v>0.15945913221413441</c:v>
                </c:pt>
                <c:pt idx="85">
                  <c:v>0.15437191213684431</c:v>
                </c:pt>
                <c:pt idx="86">
                  <c:v>0.14725536494209465</c:v>
                </c:pt>
                <c:pt idx="87">
                  <c:v>0.14604251178258565</c:v>
                </c:pt>
                <c:pt idx="88">
                  <c:v>0.13867495101246743</c:v>
                </c:pt>
                <c:pt idx="89">
                  <c:v>0.13338877264455334</c:v>
                </c:pt>
                <c:pt idx="90">
                  <c:v>0.12920239987050391</c:v>
                </c:pt>
                <c:pt idx="91">
                  <c:v>0.12241461454178573</c:v>
                </c:pt>
                <c:pt idx="92">
                  <c:v>0.12606671737693914</c:v>
                </c:pt>
                <c:pt idx="93">
                  <c:v>0.12480574185459242</c:v>
                </c:pt>
                <c:pt idx="94">
                  <c:v>0.11930966263740111</c:v>
                </c:pt>
                <c:pt idx="95">
                  <c:v>0.11477318138151986</c:v>
                </c:pt>
                <c:pt idx="96">
                  <c:v>0.13141235116554889</c:v>
                </c:pt>
                <c:pt idx="97">
                  <c:v>0.12558510276255463</c:v>
                </c:pt>
                <c:pt idx="98">
                  <c:v>0.11991243153986543</c:v>
                </c:pt>
                <c:pt idx="99">
                  <c:v>0.11393280607647135</c:v>
                </c:pt>
                <c:pt idx="100">
                  <c:v>0.10898944742746519</c:v>
                </c:pt>
                <c:pt idx="101">
                  <c:v>0.12434235762872684</c:v>
                </c:pt>
                <c:pt idx="102">
                  <c:v>0.11981293584539569</c:v>
                </c:pt>
                <c:pt idx="103">
                  <c:v>0.11495146332860051</c:v>
                </c:pt>
                <c:pt idx="104">
                  <c:v>0.11600598286772291</c:v>
                </c:pt>
                <c:pt idx="105">
                  <c:v>0.11068019053110018</c:v>
                </c:pt>
                <c:pt idx="106">
                  <c:v>0.10770255061433717</c:v>
                </c:pt>
                <c:pt idx="107">
                  <c:v>0.13876813782888153</c:v>
                </c:pt>
                <c:pt idx="108">
                  <c:v>0.13134389133912622</c:v>
                </c:pt>
                <c:pt idx="109">
                  <c:v>0.12499679184731415</c:v>
                </c:pt>
                <c:pt idx="110">
                  <c:v>0.11849987605113732</c:v>
                </c:pt>
                <c:pt idx="111">
                  <c:v>0.14259872128816956</c:v>
                </c:pt>
                <c:pt idx="112">
                  <c:v>0.13431412957355313</c:v>
                </c:pt>
                <c:pt idx="113">
                  <c:v>0.12692000392928043</c:v>
                </c:pt>
                <c:pt idx="114">
                  <c:v>0.1667875196036131</c:v>
                </c:pt>
                <c:pt idx="115">
                  <c:v>0.15659323543969278</c:v>
                </c:pt>
                <c:pt idx="116">
                  <c:v>0.1478833933906884</c:v>
                </c:pt>
                <c:pt idx="117">
                  <c:v>0.13908689359323786</c:v>
                </c:pt>
                <c:pt idx="118">
                  <c:v>0.14540416999127012</c:v>
                </c:pt>
                <c:pt idx="119">
                  <c:v>0.22911888340357006</c:v>
                </c:pt>
                <c:pt idx="120">
                  <c:v>0.21910412074572283</c:v>
                </c:pt>
                <c:pt idx="121">
                  <c:v>0.23638646935790142</c:v>
                </c:pt>
                <c:pt idx="122">
                  <c:v>0.22713387302695207</c:v>
                </c:pt>
                <c:pt idx="123">
                  <c:v>0.30648847029322557</c:v>
                </c:pt>
                <c:pt idx="124">
                  <c:v>0.30056244208735522</c:v>
                </c:pt>
                <c:pt idx="125">
                  <c:v>0.29593596371296516</c:v>
                </c:pt>
                <c:pt idx="126">
                  <c:v>0.30657227328347042</c:v>
                </c:pt>
                <c:pt idx="127">
                  <c:v>0.32688874302027032</c:v>
                </c:pt>
                <c:pt idx="128">
                  <c:v>0.30415481176357267</c:v>
                </c:pt>
                <c:pt idx="129">
                  <c:v>0.2818361039881031</c:v>
                </c:pt>
                <c:pt idx="130">
                  <c:v>0.26229511556868024</c:v>
                </c:pt>
                <c:pt idx="131">
                  <c:v>0.25618001076778868</c:v>
                </c:pt>
                <c:pt idx="132">
                  <c:v>0.23783602663621459</c:v>
                </c:pt>
                <c:pt idx="133">
                  <c:v>0.22658769399775597</c:v>
                </c:pt>
                <c:pt idx="134">
                  <c:v>0.21227511491348566</c:v>
                </c:pt>
                <c:pt idx="135">
                  <c:v>0.20276378486647606</c:v>
                </c:pt>
                <c:pt idx="136">
                  <c:v>0.20547974792387408</c:v>
                </c:pt>
                <c:pt idx="137">
                  <c:v>0.19606570655856345</c:v>
                </c:pt>
                <c:pt idx="138">
                  <c:v>0.18346873362661092</c:v>
                </c:pt>
                <c:pt idx="139">
                  <c:v>0.17650539677682409</c:v>
                </c:pt>
                <c:pt idx="140">
                  <c:v>0.17743669529766751</c:v>
                </c:pt>
                <c:pt idx="141">
                  <c:v>0.16647514458184451</c:v>
                </c:pt>
                <c:pt idx="142">
                  <c:v>0.17042328591736181</c:v>
                </c:pt>
                <c:pt idx="143">
                  <c:v>0.18213936345702447</c:v>
                </c:pt>
                <c:pt idx="144">
                  <c:v>0.17057305832142108</c:v>
                </c:pt>
                <c:pt idx="145">
                  <c:v>0.16030987447872957</c:v>
                </c:pt>
                <c:pt idx="146">
                  <c:v>0.15534111884181051</c:v>
                </c:pt>
                <c:pt idx="147">
                  <c:v>0.16018369937477575</c:v>
                </c:pt>
                <c:pt idx="148">
                  <c:v>0.16547099471493212</c:v>
                </c:pt>
                <c:pt idx="149">
                  <c:v>0.15821823163533996</c:v>
                </c:pt>
                <c:pt idx="150">
                  <c:v>0.14930526658697749</c:v>
                </c:pt>
                <c:pt idx="151">
                  <c:v>0.141092207258143</c:v>
                </c:pt>
                <c:pt idx="152">
                  <c:v>0.13424319859534214</c:v>
                </c:pt>
                <c:pt idx="153">
                  <c:v>0.13132367035233458</c:v>
                </c:pt>
                <c:pt idx="154">
                  <c:v>0.12483156339309495</c:v>
                </c:pt>
                <c:pt idx="155">
                  <c:v>0.11939049867786755</c:v>
                </c:pt>
                <c:pt idx="156">
                  <c:v>0.11894587092203647</c:v>
                </c:pt>
                <c:pt idx="157">
                  <c:v>0.15009146068581314</c:v>
                </c:pt>
                <c:pt idx="158">
                  <c:v>0.14419291103238752</c:v>
                </c:pt>
                <c:pt idx="159">
                  <c:v>0.1488112468825</c:v>
                </c:pt>
                <c:pt idx="160">
                  <c:v>0.14482450456334073</c:v>
                </c:pt>
                <c:pt idx="161">
                  <c:v>0.14528125957587293</c:v>
                </c:pt>
                <c:pt idx="162">
                  <c:v>0.14363455150721566</c:v>
                </c:pt>
                <c:pt idx="163">
                  <c:v>0.15002587319072727</c:v>
                </c:pt>
                <c:pt idx="164">
                  <c:v>0.14732575256854738</c:v>
                </c:pt>
                <c:pt idx="165">
                  <c:v>0.14779252609677632</c:v>
                </c:pt>
                <c:pt idx="166">
                  <c:v>0.14113050172279987</c:v>
                </c:pt>
                <c:pt idx="167">
                  <c:v>0.14023506840006716</c:v>
                </c:pt>
                <c:pt idx="168">
                  <c:v>0.16681012527583708</c:v>
                </c:pt>
                <c:pt idx="169">
                  <c:v>0.15682398126490957</c:v>
                </c:pt>
                <c:pt idx="170">
                  <c:v>0.15131445862902074</c:v>
                </c:pt>
                <c:pt idx="171">
                  <c:v>0.14874558352596293</c:v>
                </c:pt>
                <c:pt idx="172">
                  <c:v>0.14598689610451235</c:v>
                </c:pt>
                <c:pt idx="173">
                  <c:v>0.13739954195059534</c:v>
                </c:pt>
                <c:pt idx="174">
                  <c:v>0.13085804605847207</c:v>
                </c:pt>
                <c:pt idx="175">
                  <c:v>0.12460317007942391</c:v>
                </c:pt>
                <c:pt idx="176">
                  <c:v>0.12609155168123445</c:v>
                </c:pt>
                <c:pt idx="177">
                  <c:v>0.11947481664457227</c:v>
                </c:pt>
                <c:pt idx="178">
                  <c:v>0.13471147284793181</c:v>
                </c:pt>
                <c:pt idx="179">
                  <c:v>0.12794337141910497</c:v>
                </c:pt>
                <c:pt idx="180">
                  <c:v>0.18028310480826565</c:v>
                </c:pt>
                <c:pt idx="181">
                  <c:v>0.17362862847305516</c:v>
                </c:pt>
                <c:pt idx="182">
                  <c:v>0.16846637305364862</c:v>
                </c:pt>
                <c:pt idx="183">
                  <c:v>0.16671343013073148</c:v>
                </c:pt>
                <c:pt idx="184">
                  <c:v>0.15870011437128156</c:v>
                </c:pt>
                <c:pt idx="185">
                  <c:v>0.14924168451712039</c:v>
                </c:pt>
                <c:pt idx="186">
                  <c:v>0.14532441708847282</c:v>
                </c:pt>
                <c:pt idx="187">
                  <c:v>0.13933086191822336</c:v>
                </c:pt>
                <c:pt idx="188">
                  <c:v>0.13138871898178603</c:v>
                </c:pt>
                <c:pt idx="189">
                  <c:v>0.13020863998145715</c:v>
                </c:pt>
                <c:pt idx="190">
                  <c:v>0.14752073255012252</c:v>
                </c:pt>
                <c:pt idx="191">
                  <c:v>0.1410283883624012</c:v>
                </c:pt>
                <c:pt idx="192">
                  <c:v>0.1397179460448405</c:v>
                </c:pt>
                <c:pt idx="193">
                  <c:v>0.1322803961400309</c:v>
                </c:pt>
                <c:pt idx="194">
                  <c:v>0.13838478483608588</c:v>
                </c:pt>
                <c:pt idx="195">
                  <c:v>0.13097957567044033</c:v>
                </c:pt>
                <c:pt idx="196">
                  <c:v>0.12563639239339155</c:v>
                </c:pt>
                <c:pt idx="197">
                  <c:v>0.12615469059758719</c:v>
                </c:pt>
                <c:pt idx="198">
                  <c:v>0.11989173367015565</c:v>
                </c:pt>
                <c:pt idx="199">
                  <c:v>0.11397982032811628</c:v>
                </c:pt>
                <c:pt idx="200">
                  <c:v>0.1223611572616808</c:v>
                </c:pt>
                <c:pt idx="201">
                  <c:v>0.11806308333211275</c:v>
                </c:pt>
                <c:pt idx="202">
                  <c:v>0.11631970683079515</c:v>
                </c:pt>
                <c:pt idx="203">
                  <c:v>0.1244818914934622</c:v>
                </c:pt>
                <c:pt idx="204">
                  <c:v>0.13170888664259964</c:v>
                </c:pt>
                <c:pt idx="205">
                  <c:v>0.14423079763235949</c:v>
                </c:pt>
                <c:pt idx="206">
                  <c:v>0.14464798586839511</c:v>
                </c:pt>
                <c:pt idx="207">
                  <c:v>0.13939783607163719</c:v>
                </c:pt>
                <c:pt idx="208">
                  <c:v>0.13447275412520943</c:v>
                </c:pt>
                <c:pt idx="209">
                  <c:v>0.13022823274551812</c:v>
                </c:pt>
                <c:pt idx="210">
                  <c:v>0.24137348899417913</c:v>
                </c:pt>
                <c:pt idx="211">
                  <c:v>0.22826176643650714</c:v>
                </c:pt>
                <c:pt idx="212">
                  <c:v>0.22133467071298554</c:v>
                </c:pt>
                <c:pt idx="213">
                  <c:v>0.21338372742313738</c:v>
                </c:pt>
                <c:pt idx="214">
                  <c:v>0.2022135227569366</c:v>
                </c:pt>
                <c:pt idx="215">
                  <c:v>0.18902968823023383</c:v>
                </c:pt>
                <c:pt idx="216">
                  <c:v>0.18065269490429134</c:v>
                </c:pt>
                <c:pt idx="217">
                  <c:v>0.1730120499472747</c:v>
                </c:pt>
                <c:pt idx="218">
                  <c:v>0.16227635570956195</c:v>
                </c:pt>
                <c:pt idx="219">
                  <c:v>0.15381161858630363</c:v>
                </c:pt>
                <c:pt idx="220">
                  <c:v>0.1445486758690484</c:v>
                </c:pt>
                <c:pt idx="221">
                  <c:v>0.17837217756211896</c:v>
                </c:pt>
                <c:pt idx="222">
                  <c:v>0.20250213045783688</c:v>
                </c:pt>
                <c:pt idx="223">
                  <c:v>0.19356210157328765</c:v>
                </c:pt>
                <c:pt idx="224">
                  <c:v>0.19800660981902066</c:v>
                </c:pt>
                <c:pt idx="225">
                  <c:v>0.18647422256510496</c:v>
                </c:pt>
                <c:pt idx="226">
                  <c:v>0.18317853061013697</c:v>
                </c:pt>
                <c:pt idx="227">
                  <c:v>0.17117536112134818</c:v>
                </c:pt>
                <c:pt idx="228">
                  <c:v>0.16808423279863333</c:v>
                </c:pt>
                <c:pt idx="229">
                  <c:v>0.16200985878230895</c:v>
                </c:pt>
                <c:pt idx="230">
                  <c:v>0.1563418095184011</c:v>
                </c:pt>
                <c:pt idx="231">
                  <c:v>0.15134559354326077</c:v>
                </c:pt>
                <c:pt idx="232">
                  <c:v>0.14280909926191721</c:v>
                </c:pt>
                <c:pt idx="233">
                  <c:v>0.13455146817082975</c:v>
                </c:pt>
                <c:pt idx="234">
                  <c:v>0.13032161468528497</c:v>
                </c:pt>
                <c:pt idx="235">
                  <c:v>0.16303848647236108</c:v>
                </c:pt>
                <c:pt idx="236">
                  <c:v>0.15805154299632831</c:v>
                </c:pt>
                <c:pt idx="237">
                  <c:v>0.18253679040979034</c:v>
                </c:pt>
                <c:pt idx="238">
                  <c:v>0.17099302375466022</c:v>
                </c:pt>
                <c:pt idx="239">
                  <c:v>0.16289328455569976</c:v>
                </c:pt>
                <c:pt idx="240">
                  <c:v>0.1588373631468688</c:v>
                </c:pt>
                <c:pt idx="241">
                  <c:v>0.15401046146856961</c:v>
                </c:pt>
                <c:pt idx="242">
                  <c:v>0.14470203038751422</c:v>
                </c:pt>
                <c:pt idx="243">
                  <c:v>0.13866949438117609</c:v>
                </c:pt>
                <c:pt idx="244">
                  <c:v>0.1383000220994034</c:v>
                </c:pt>
                <c:pt idx="245">
                  <c:v>0.14451361241536398</c:v>
                </c:pt>
                <c:pt idx="246">
                  <c:v>0.13720697193642112</c:v>
                </c:pt>
                <c:pt idx="247">
                  <c:v>0.13131510124884158</c:v>
                </c:pt>
                <c:pt idx="248">
                  <c:v>0.12812447398661581</c:v>
                </c:pt>
                <c:pt idx="249">
                  <c:v>0.15388221750125705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B-254C-A764-3539E8FA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54208"/>
        <c:axId val="1897481536"/>
      </c:lineChart>
      <c:catAx>
        <c:axId val="189685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81536"/>
        <c:crosses val="autoZero"/>
        <c:auto val="1"/>
        <c:lblAlgn val="ctr"/>
        <c:lblOffset val="100"/>
        <c:noMultiLvlLbl val="0"/>
      </c:catAx>
      <c:valAx>
        <c:axId val="18974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Annualised Vol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4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 Clustering: Squared Returns </a:t>
            </a:r>
            <a:r>
              <a:rPr lang="el-GR"/>
              <a:t>ε²(</a:t>
            </a:r>
            <a:r>
              <a:rPr lang="en-US"/>
              <a:t>t)  —  Large Shocks Cluster Together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ε²(t) squared return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'6.GARCH MOTIVATION'!$G$4:$G$253</c:f>
              <c:numCache>
                <c:formatCode>General</c:formatCode>
                <c:ptCount val="250"/>
                <c:pt idx="0" formatCode="0.00000E+00">
                  <c:v>3.4631722501977267E-5</c:v>
                </c:pt>
                <c:pt idx="1">
                  <c:v>1.4674070139866073E-6</c:v>
                </c:pt>
                <c:pt idx="2">
                  <c:v>4.4499462479106656E-5</c:v>
                </c:pt>
                <c:pt idx="3">
                  <c:v>2.5809986026121526E-4</c:v>
                </c:pt>
                <c:pt idx="4">
                  <c:v>6.0264168110547443E-6</c:v>
                </c:pt>
                <c:pt idx="5">
                  <c:v>4.0451274623866167E-6</c:v>
                </c:pt>
                <c:pt idx="6">
                  <c:v>2.3514083692375884E-4</c:v>
                </c:pt>
                <c:pt idx="7">
                  <c:v>7.8763573979214396E-5</c:v>
                </c:pt>
                <c:pt idx="8">
                  <c:v>2.3247736351039394E-5</c:v>
                </c:pt>
                <c:pt idx="9">
                  <c:v>3.0386880530482058E-5</c:v>
                </c:pt>
                <c:pt idx="10">
                  <c:v>1.8408303792289058E-5</c:v>
                </c:pt>
                <c:pt idx="11">
                  <c:v>1.7747941781904288E-5</c:v>
                </c:pt>
                <c:pt idx="12">
                  <c:v>6.7430678266357658E-6</c:v>
                </c:pt>
                <c:pt idx="13">
                  <c:v>3.6754841119424872E-4</c:v>
                </c:pt>
                <c:pt idx="14">
                  <c:v>4.1903776045718288E-4</c:v>
                </c:pt>
                <c:pt idx="15">
                  <c:v>4.1954222399331859E-5</c:v>
                </c:pt>
                <c:pt idx="16">
                  <c:v>9.5989349316754971E-5</c:v>
                </c:pt>
                <c:pt idx="17">
                  <c:v>1.3099573421196241E-5</c:v>
                </c:pt>
                <c:pt idx="18">
                  <c:v>7.6605391572583551E-5</c:v>
                </c:pt>
                <c:pt idx="19">
                  <c:v>2.0309574718807189E-4</c:v>
                </c:pt>
                <c:pt idx="20">
                  <c:v>2.7667266237602452E-4</c:v>
                </c:pt>
                <c:pt idx="21">
                  <c:v>5.4193635230903455E-6</c:v>
                </c:pt>
                <c:pt idx="22">
                  <c:v>8.784607261534598E-7</c:v>
                </c:pt>
                <c:pt idx="23">
                  <c:v>1.8593372228710737E-4</c:v>
                </c:pt>
                <c:pt idx="24">
                  <c:v>3.1272020069908661E-5</c:v>
                </c:pt>
                <c:pt idx="25">
                  <c:v>1.919388903171621E-6</c:v>
                </c:pt>
                <c:pt idx="26">
                  <c:v>1.2136013975985145E-4</c:v>
                </c:pt>
                <c:pt idx="27">
                  <c:v>1.8786925055559306E-5</c:v>
                </c:pt>
                <c:pt idx="28">
                  <c:v>3.5566497113227438E-5</c:v>
                </c:pt>
                <c:pt idx="29">
                  <c:v>7.6506925827527682E-6</c:v>
                </c:pt>
                <c:pt idx="30">
                  <c:v>2.9976248675258525E-5</c:v>
                </c:pt>
                <c:pt idx="31">
                  <c:v>3.3883029958060141E-4</c:v>
                </c:pt>
                <c:pt idx="32">
                  <c:v>7.7000779100382002E-9</c:v>
                </c:pt>
                <c:pt idx="33">
                  <c:v>8.7539986228224903E-5</c:v>
                </c:pt>
                <c:pt idx="34">
                  <c:v>8.2472889308862546E-5</c:v>
                </c:pt>
                <c:pt idx="35">
                  <c:v>1.7397067572075096E-4</c:v>
                </c:pt>
                <c:pt idx="36">
                  <c:v>6.7071739099660293E-6</c:v>
                </c:pt>
                <c:pt idx="37">
                  <c:v>3.5367537310403667E-4</c:v>
                </c:pt>
                <c:pt idx="38">
                  <c:v>2.4257805423083512E-4</c:v>
                </c:pt>
                <c:pt idx="39">
                  <c:v>6.1892114145541307E-6</c:v>
                </c:pt>
                <c:pt idx="40">
                  <c:v>5.705225121296976E-5</c:v>
                </c:pt>
                <c:pt idx="41">
                  <c:v>4.4714161654776022E-6</c:v>
                </c:pt>
                <c:pt idx="42">
                  <c:v>7.1856355993930929E-7</c:v>
                </c:pt>
                <c:pt idx="43">
                  <c:v>7.6073401783137663E-6</c:v>
                </c:pt>
                <c:pt idx="44">
                  <c:v>2.2056123455813269E-4</c:v>
                </c:pt>
                <c:pt idx="45">
                  <c:v>5.9030447128772628E-5</c:v>
                </c:pt>
                <c:pt idx="46">
                  <c:v>1.9059184623932433E-5</c:v>
                </c:pt>
                <c:pt idx="47">
                  <c:v>1.1048229158247822E-4</c:v>
                </c:pt>
                <c:pt idx="48">
                  <c:v>1.4596643709902482E-5</c:v>
                </c:pt>
                <c:pt idx="49">
                  <c:v>2.7828689522097432E-4</c:v>
                </c:pt>
                <c:pt idx="50">
                  <c:v>1.6317033927242712E-5</c:v>
                </c:pt>
                <c:pt idx="51">
                  <c:v>1.1784446699702472E-5</c:v>
                </c:pt>
                <c:pt idx="52">
                  <c:v>4.0264257905431223E-5</c:v>
                </c:pt>
                <c:pt idx="53">
                  <c:v>4.5490587125691726E-5</c:v>
                </c:pt>
                <c:pt idx="54">
                  <c:v>1.0975404188685838E-4</c:v>
                </c:pt>
                <c:pt idx="55">
                  <c:v>1.1158103355150019E-4</c:v>
                </c:pt>
                <c:pt idx="56">
                  <c:v>7.4459366344017716E-5</c:v>
                </c:pt>
                <c:pt idx="57">
                  <c:v>8.3691843196652798E-6</c:v>
                </c:pt>
                <c:pt idx="58">
                  <c:v>1.2931499835342092E-5</c:v>
                </c:pt>
                <c:pt idx="59">
                  <c:v>1.0186111660728627E-4</c:v>
                </c:pt>
                <c:pt idx="60">
                  <c:v>2.5519962873736365E-5</c:v>
                </c:pt>
                <c:pt idx="61">
                  <c:v>2.7438978767916573E-6</c:v>
                </c:pt>
                <c:pt idx="62">
                  <c:v>1.1653779477113484E-4</c:v>
                </c:pt>
                <c:pt idx="63">
                  <c:v>1.5487801284120252E-4</c:v>
                </c:pt>
                <c:pt idx="64">
                  <c:v>8.0543553116855273E-5</c:v>
                </c:pt>
                <c:pt idx="65">
                  <c:v>2.2339793222992974E-4</c:v>
                </c:pt>
                <c:pt idx="66">
                  <c:v>3.4093494701851029E-7</c:v>
                </c:pt>
                <c:pt idx="67">
                  <c:v>1.0698176255519546E-4</c:v>
                </c:pt>
                <c:pt idx="68">
                  <c:v>1.7009276881390539E-5</c:v>
                </c:pt>
                <c:pt idx="69">
                  <c:v>3.7447501682613145E-5</c:v>
                </c:pt>
                <c:pt idx="70">
                  <c:v>1.648883074075946E-5</c:v>
                </c:pt>
                <c:pt idx="71">
                  <c:v>2.385744051984743E-4</c:v>
                </c:pt>
                <c:pt idx="72">
                  <c:v>3.0425387535618912E-8</c:v>
                </c:pt>
                <c:pt idx="73">
                  <c:v>2.4688551268809919E-4</c:v>
                </c:pt>
                <c:pt idx="74">
                  <c:v>8.6848071228833815E-4</c:v>
                </c:pt>
                <c:pt idx="75">
                  <c:v>1.2435591199433962E-4</c:v>
                </c:pt>
                <c:pt idx="76">
                  <c:v>1.4912916114358188E-6</c:v>
                </c:pt>
                <c:pt idx="77">
                  <c:v>6.3007192302235525E-6</c:v>
                </c:pt>
                <c:pt idx="78">
                  <c:v>1.4435672751749409E-6</c:v>
                </c:pt>
                <c:pt idx="79">
                  <c:v>3.5932359632547364E-4</c:v>
                </c:pt>
                <c:pt idx="80">
                  <c:v>5.817011554477512E-6</c:v>
                </c:pt>
                <c:pt idx="81">
                  <c:v>1.381343597979044E-5</c:v>
                </c:pt>
                <c:pt idx="82">
                  <c:v>2.4120913668659473E-4</c:v>
                </c:pt>
                <c:pt idx="83">
                  <c:v>3.1319100421043147E-5</c:v>
                </c:pt>
                <c:pt idx="84">
                  <c:v>5.7998199891805097E-5</c:v>
                </c:pt>
                <c:pt idx="85">
                  <c:v>2.6668981585783595E-5</c:v>
                </c:pt>
                <c:pt idx="86">
                  <c:v>8.4956115840143201E-5</c:v>
                </c:pt>
                <c:pt idx="87">
                  <c:v>1.3713852290022864E-5</c:v>
                </c:pt>
                <c:pt idx="88">
                  <c:v>2.7398172026056893E-5</c:v>
                </c:pt>
                <c:pt idx="89">
                  <c:v>3.2284927175408638E-5</c:v>
                </c:pt>
                <c:pt idx="90">
                  <c:v>1.5899500381361E-6</c:v>
                </c:pt>
                <c:pt idx="91">
                  <c:v>9.520952598393531E-5</c:v>
                </c:pt>
                <c:pt idx="92">
                  <c:v>5.2046768024113792E-5</c:v>
                </c:pt>
                <c:pt idx="93">
                  <c:v>9.4759277284356434E-6</c:v>
                </c:pt>
                <c:pt idx="94">
                  <c:v>1.2591543872315963E-5</c:v>
                </c:pt>
                <c:pt idx="95">
                  <c:v>2.1096251385268144E-4</c:v>
                </c:pt>
                <c:pt idx="96">
                  <c:v>1.3364797732241963E-5</c:v>
                </c:pt>
                <c:pt idx="97">
                  <c:v>8.6157106072903345E-6</c:v>
                </c:pt>
                <c:pt idx="98">
                  <c:v>1.0086302882342418E-7</c:v>
                </c:pt>
                <c:pt idx="99">
                  <c:v>3.5364283791346925E-6</c:v>
                </c:pt>
                <c:pt idx="100">
                  <c:v>1.8286219038522378E-4</c:v>
                </c:pt>
                <c:pt idx="101">
                  <c:v>1.8145673822350378E-5</c:v>
                </c:pt>
                <c:pt idx="102">
                  <c:v>1.0157550193556258E-5</c:v>
                </c:pt>
                <c:pt idx="103">
                  <c:v>5.8318451505072323E-5</c:v>
                </c:pt>
                <c:pt idx="104">
                  <c:v>2.1954255579435007E-6</c:v>
                </c:pt>
                <c:pt idx="105">
                  <c:v>1.7113115842592131E-5</c:v>
                </c:pt>
                <c:pt idx="106">
                  <c:v>3.4288621345185286E-4</c:v>
                </c:pt>
                <c:pt idx="107">
                  <c:v>5.0440923445651996E-6</c:v>
                </c:pt>
                <c:pt idx="108">
                  <c:v>8.121541620326116E-6</c:v>
                </c:pt>
                <c:pt idx="109">
                  <c:v>2.2429951715259538E-7</c:v>
                </c:pt>
                <c:pt idx="110">
                  <c:v>3.0327411835342826E-4</c:v>
                </c:pt>
                <c:pt idx="111">
                  <c:v>1.9598029090060322E-9</c:v>
                </c:pt>
                <c:pt idx="112">
                  <c:v>7.3193669732254185E-7</c:v>
                </c:pt>
                <c:pt idx="113">
                  <c:v>5.3054334951303014E-4</c:v>
                </c:pt>
                <c:pt idx="114">
                  <c:v>4.7649283442170778E-6</c:v>
                </c:pt>
                <c:pt idx="115">
                  <c:v>1.0725113614869264E-5</c:v>
                </c:pt>
                <c:pt idx="116">
                  <c:v>3.5966183863779635E-9</c:v>
                </c:pt>
                <c:pt idx="117">
                  <c:v>1.564675903510322E-4</c:v>
                </c:pt>
                <c:pt idx="118">
                  <c:v>1.3400176975744472E-3</c:v>
                </c:pt>
                <c:pt idx="119">
                  <c:v>1.0434414307429987E-4</c:v>
                </c:pt>
                <c:pt idx="120">
                  <c:v>5.6813252090877895E-4</c:v>
                </c:pt>
                <c:pt idx="121">
                  <c:v>1.3242134186720785E-4</c:v>
                </c:pt>
                <c:pt idx="122">
                  <c:v>1.9574545868210852E-3</c:v>
                </c:pt>
                <c:pt idx="123">
                  <c:v>3.8638398945379311E-4</c:v>
                </c:pt>
                <c:pt idx="124">
                  <c:v>3.9821350254896259E-4</c:v>
                </c:pt>
                <c:pt idx="125">
                  <c:v>7.456023142968913E-4</c:v>
                </c:pt>
                <c:pt idx="126">
                  <c:v>1.0401458483772475E-3</c:v>
                </c:pt>
                <c:pt idx="127">
                  <c:v>3.6759394943169373E-5</c:v>
                </c:pt>
                <c:pt idx="128">
                  <c:v>1.6651754007411596E-6</c:v>
                </c:pt>
                <c:pt idx="129">
                  <c:v>2.0868117725135163E-5</c:v>
                </c:pt>
                <c:pt idx="130">
                  <c:v>2.5370156402678947E-4</c:v>
                </c:pt>
                <c:pt idx="131">
                  <c:v>1.032037169265976E-6</c:v>
                </c:pt>
                <c:pt idx="132">
                  <c:v>9.9400946033089367E-5</c:v>
                </c:pt>
                <c:pt idx="133">
                  <c:v>2.6350746071268133E-5</c:v>
                </c:pt>
                <c:pt idx="134">
                  <c:v>8.1568916808534366E-5</c:v>
                </c:pt>
                <c:pt idx="135">
                  <c:v>2.5872012783678737E-4</c:v>
                </c:pt>
                <c:pt idx="136">
                  <c:v>7.1314424701535769E-5</c:v>
                </c:pt>
                <c:pt idx="137">
                  <c:v>9.0983779162663181E-6</c:v>
                </c:pt>
                <c:pt idx="138">
                  <c:v>7.0892670856136482E-5</c:v>
                </c:pt>
                <c:pt idx="139">
                  <c:v>1.685217861315406E-4</c:v>
                </c:pt>
                <c:pt idx="140">
                  <c:v>7.8079385362025919E-6</c:v>
                </c:pt>
                <c:pt idx="141">
                  <c:v>1.8774677316891756E-4</c:v>
                </c:pt>
                <c:pt idx="142">
                  <c:v>3.067962617099144E-4</c:v>
                </c:pt>
                <c:pt idx="143">
                  <c:v>5.5806612171580894E-6</c:v>
                </c:pt>
                <c:pt idx="144">
                  <c:v>8.4270977790290133E-6</c:v>
                </c:pt>
                <c:pt idx="145">
                  <c:v>6.0733957378864468E-5</c:v>
                </c:pt>
                <c:pt idx="146">
                  <c:v>1.742691993181292E-4</c:v>
                </c:pt>
                <c:pt idx="147">
                  <c:v>1.9105774517336676E-4</c:v>
                </c:pt>
                <c:pt idx="148">
                  <c:v>3.9819692208625488E-5</c:v>
                </c:pt>
                <c:pt idx="149">
                  <c:v>1.0238298891524979E-5</c:v>
                </c:pt>
                <c:pt idx="150">
                  <c:v>8.0459409903821382E-6</c:v>
                </c:pt>
                <c:pt idx="151">
                  <c:v>1.3661788193647286E-5</c:v>
                </c:pt>
                <c:pt idx="152">
                  <c:v>4.6502201629620853E-5</c:v>
                </c:pt>
                <c:pt idx="153">
                  <c:v>6.6626501419421362E-6</c:v>
                </c:pt>
                <c:pt idx="154">
                  <c:v>1.0024199930962235E-5</c:v>
                </c:pt>
                <c:pt idx="155">
                  <c:v>5.0640583771204407E-5</c:v>
                </c:pt>
                <c:pt idx="156">
                  <c:v>3.8672795209561487E-4</c:v>
                </c:pt>
                <c:pt idx="157">
                  <c:v>3.5208968524332416E-5</c:v>
                </c:pt>
                <c:pt idx="158">
                  <c:v>1.4745757720354937E-4</c:v>
                </c:pt>
                <c:pt idx="159">
                  <c:v>5.5359841392912432E-5</c:v>
                </c:pt>
                <c:pt idx="160">
                  <c:v>1.001042789776841E-4</c:v>
                </c:pt>
                <c:pt idx="161">
                  <c:v>7.6755423028557394E-5</c:v>
                </c:pt>
                <c:pt idx="162">
                  <c:v>1.6728217849059659E-4</c:v>
                </c:pt>
                <c:pt idx="163">
                  <c:v>7.2114251477963908E-5</c:v>
                </c:pt>
                <c:pt idx="164">
                  <c:v>1.0466210339923776E-4</c:v>
                </c:pt>
                <c:pt idx="165">
                  <c:v>2.3634220713208514E-5</c:v>
                </c:pt>
                <c:pt idx="166">
                  <c:v>7.8560661512764861E-5</c:v>
                </c:pt>
                <c:pt idx="167">
                  <c:v>4.1085812090256612E-4</c:v>
                </c:pt>
                <c:pt idx="168">
                  <c:v>7.3803924371955639E-6</c:v>
                </c:pt>
                <c:pt idx="169">
                  <c:v>4.9022557753310171E-5</c:v>
                </c:pt>
                <c:pt idx="170">
                  <c:v>7.5698136381533094E-5</c:v>
                </c:pt>
                <c:pt idx="171">
                  <c:v>6.9433036052474317E-5</c:v>
                </c:pt>
                <c:pt idx="172">
                  <c:v>2.8914163246724719E-7</c:v>
                </c:pt>
                <c:pt idx="173">
                  <c:v>1.273766703344425E-5</c:v>
                </c:pt>
                <c:pt idx="174">
                  <c:v>8.5196828705091225E-6</c:v>
                </c:pt>
                <c:pt idx="175">
                  <c:v>7.722309169110515E-5</c:v>
                </c:pt>
                <c:pt idx="176">
                  <c:v>1.592983206333053E-7</c:v>
                </c:pt>
                <c:pt idx="177">
                  <c:v>2.0865412208107261E-4</c:v>
                </c:pt>
                <c:pt idx="178">
                  <c:v>7.4762901093980779E-6</c:v>
                </c:pt>
                <c:pt idx="179">
                  <c:v>7.0761577510849636E-4</c:v>
                </c:pt>
                <c:pt idx="180">
                  <c:v>7.0008032858029148E-5</c:v>
                </c:pt>
                <c:pt idx="181">
                  <c:v>7.9367195167937571E-5</c:v>
                </c:pt>
                <c:pt idx="182">
                  <c:v>1.1561852236431897E-4</c:v>
                </c:pt>
                <c:pt idx="183">
                  <c:v>3.195887632526649E-5</c:v>
                </c:pt>
                <c:pt idx="184">
                  <c:v>4.3338508439890141E-6</c:v>
                </c:pt>
                <c:pt idx="185">
                  <c:v>5.6788407310431144E-5</c:v>
                </c:pt>
                <c:pt idx="186">
                  <c:v>2.8007175043106066E-5</c:v>
                </c:pt>
                <c:pt idx="187">
                  <c:v>2.3292679487997798E-7</c:v>
                </c:pt>
                <c:pt idx="188">
                  <c:v>6.0505705218142059E-5</c:v>
                </c:pt>
                <c:pt idx="189">
                  <c:v>2.6171508314195121E-4</c:v>
                </c:pt>
                <c:pt idx="190">
                  <c:v>2.5198205229769622E-5</c:v>
                </c:pt>
                <c:pt idx="191">
                  <c:v>7.3787661567743665E-5</c:v>
                </c:pt>
                <c:pt idx="192">
                  <c:v>5.9192231358289689E-6</c:v>
                </c:pt>
                <c:pt idx="193">
                  <c:v>1.397206726829686E-4</c:v>
                </c:pt>
                <c:pt idx="194">
                  <c:v>4.8354313412016349E-6</c:v>
                </c:pt>
                <c:pt idx="195">
                  <c:v>1.770639830313308E-5</c:v>
                </c:pt>
                <c:pt idx="196">
                  <c:v>6.9134060721850432E-5</c:v>
                </c:pt>
                <c:pt idx="197">
                  <c:v>3.5822514535128195E-6</c:v>
                </c:pt>
                <c:pt idx="198">
                  <c:v>6.9348452220104992E-7</c:v>
                </c:pt>
                <c:pt idx="199">
                  <c:v>1.2593505082113331E-4</c:v>
                </c:pt>
                <c:pt idx="200">
                  <c:v>1.8114157159932169E-5</c:v>
                </c:pt>
                <c:pt idx="201">
                  <c:v>3.675461500791827E-5</c:v>
                </c:pt>
                <c:pt idx="202">
                  <c:v>1.2853207310191598E-4</c:v>
                </c:pt>
                <c:pt idx="203">
                  <c:v>1.3570836140125306E-4</c:v>
                </c:pt>
                <c:pt idx="204">
                  <c:v>2.1037209476700204E-4</c:v>
                </c:pt>
                <c:pt idx="205">
                  <c:v>9.8606955474872505E-5</c:v>
                </c:pt>
                <c:pt idx="206">
                  <c:v>3.5364002303139656E-5</c:v>
                </c:pt>
                <c:pt idx="207">
                  <c:v>3.2140016102470208E-5</c:v>
                </c:pt>
                <c:pt idx="208">
                  <c:v>3.3051954059709286E-5</c:v>
                </c:pt>
                <c:pt idx="209">
                  <c:v>1.709907836341484E-3</c:v>
                </c:pt>
                <c:pt idx="210">
                  <c:v>7.2438373249003496E-5</c:v>
                </c:pt>
                <c:pt idx="211">
                  <c:v>1.5655228354834855E-4</c:v>
                </c:pt>
                <c:pt idx="212">
                  <c:v>1.244418308853142E-4</c:v>
                </c:pt>
                <c:pt idx="213">
                  <c:v>5.6808965322504022E-5</c:v>
                </c:pt>
                <c:pt idx="214">
                  <c:v>8.708752560110876E-6</c:v>
                </c:pt>
                <c:pt idx="215">
                  <c:v>5.980184915184421E-5</c:v>
                </c:pt>
                <c:pt idx="216">
                  <c:v>5.7027090365188098E-5</c:v>
                </c:pt>
                <c:pt idx="217">
                  <c:v>5.3341908516570126E-6</c:v>
                </c:pt>
                <c:pt idx="218">
                  <c:v>2.0573044965027884E-5</c:v>
                </c:pt>
                <c:pt idx="219">
                  <c:v>1.1511025864070641E-6</c:v>
                </c:pt>
                <c:pt idx="220">
                  <c:v>5.2779611059845875E-4</c:v>
                </c:pt>
                <c:pt idx="221">
                  <c:v>5.2408627662494072E-4</c:v>
                </c:pt>
                <c:pt idx="222">
                  <c:v>7.3581002043624627E-5</c:v>
                </c:pt>
                <c:pt idx="223">
                  <c:v>2.6207434291168001E-4</c:v>
                </c:pt>
                <c:pt idx="224">
                  <c:v>2.7421062660384996E-5</c:v>
                </c:pt>
                <c:pt idx="225">
                  <c:v>1.2863625981815964E-4</c:v>
                </c:pt>
                <c:pt idx="226">
                  <c:v>9.4390039715906774E-7</c:v>
                </c:pt>
                <c:pt idx="227">
                  <c:v>1.0279586106090499E-4</c:v>
                </c:pt>
                <c:pt idx="228">
                  <c:v>5.860045335255162E-5</c:v>
                </c:pt>
                <c:pt idx="229">
                  <c:v>5.462881794539158E-5</c:v>
                </c:pt>
                <c:pt idx="230">
                  <c:v>5.4489741745916214E-5</c:v>
                </c:pt>
                <c:pt idx="231">
                  <c:v>6.6973591183537597E-6</c:v>
                </c:pt>
                <c:pt idx="232">
                  <c:v>5.0891189387700368E-7</c:v>
                </c:pt>
                <c:pt idx="233">
                  <c:v>3.3303186717974113E-5</c:v>
                </c:pt>
                <c:pt idx="234">
                  <c:v>4.5195965496608597E-4</c:v>
                </c:pt>
                <c:pt idx="235">
                  <c:v>6.46815231349881E-5</c:v>
                </c:pt>
                <c:pt idx="236">
                  <c:v>4.4962036294109251E-4</c:v>
                </c:pt>
                <c:pt idx="237">
                  <c:v>6.3843768896918003E-6</c:v>
                </c:pt>
                <c:pt idx="238">
                  <c:v>3.6722226448280027E-5</c:v>
                </c:pt>
                <c:pt idx="239">
                  <c:v>7.615948813919565E-5</c:v>
                </c:pt>
                <c:pt idx="240">
                  <c:v>6.0250416667818433E-5</c:v>
                </c:pt>
                <c:pt idx="241">
                  <c:v>8.4677352268200803E-7</c:v>
                </c:pt>
                <c:pt idx="242">
                  <c:v>2.6799710849297799E-5</c:v>
                </c:pt>
                <c:pt idx="243">
                  <c:v>8.0398878633099218E-5</c:v>
                </c:pt>
                <c:pt idx="244">
                  <c:v>1.5358422529947963E-4</c:v>
                </c:pt>
                <c:pt idx="245">
                  <c:v>1.2626849231131579E-5</c:v>
                </c:pt>
                <c:pt idx="246">
                  <c:v>1.9276414294680349E-5</c:v>
                </c:pt>
                <c:pt idx="247">
                  <c:v>3.9792594871131163E-5</c:v>
                </c:pt>
                <c:pt idx="248">
                  <c:v>3.5596183150433497E-4</c:v>
                </c:pt>
                <c:pt idx="249">
                  <c:v>2.4862137941501785E-5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6-0544-9E63-9A2973500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629632"/>
        <c:axId val="1899633216"/>
      </c:barChart>
      <c:catAx>
        <c:axId val="189962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Trading Day 2023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3216"/>
        <c:crosses val="autoZero"/>
        <c:auto val="1"/>
        <c:lblAlgn val="ctr"/>
        <c:lblOffset val="100"/>
        <c:noMultiLvlLbl val="0"/>
      </c:catAx>
      <c:valAx>
        <c:axId val="18996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Squared Return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296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GARCH Daily VaR &amp; ES — S&amp;P 500 2023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VaR 95%</c:v>
          </c:tx>
          <c:spPr>
            <a:ln w="28575" cap="rnd">
              <a:solidFill>
                <a:srgbClr val="1565C0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MOTIVATION'!$N$4:$N$253</c:f>
              <c:numCache>
                <c:formatCode>0.00</c:formatCode>
                <c:ptCount val="250"/>
                <c:pt idx="0">
                  <c:v>1.2740981408263827</c:v>
                </c:pt>
                <c:pt idx="1">
                  <c:v>1.246872525694104</c:v>
                </c:pt>
                <c:pt idx="2">
                  <c:v>1.1860117487171964</c:v>
                </c:pt>
                <c:pt idx="3">
                  <c:v>1.1820286887063751</c:v>
                </c:pt>
                <c:pt idx="4">
                  <c:v>1.4025261989858546</c:v>
                </c:pt>
                <c:pt idx="5">
                  <c:v>1.3302213403013481</c:v>
                </c:pt>
                <c:pt idx="6">
                  <c:v>1.2633986163574233</c:v>
                </c:pt>
                <c:pt idx="7">
                  <c:v>1.4401734999624971</c:v>
                </c:pt>
                <c:pt idx="8">
                  <c:v>1.4343114477401968</c:v>
                </c:pt>
                <c:pt idx="9">
                  <c:v>1.3757637857861884</c:v>
                </c:pt>
                <c:pt idx="10">
                  <c:v>1.3312386805044094</c:v>
                </c:pt>
                <c:pt idx="11">
                  <c:v>1.2795849835980191</c:v>
                </c:pt>
                <c:pt idx="12">
                  <c:v>1.2332563407688895</c:v>
                </c:pt>
                <c:pt idx="13">
                  <c:v>1.1799122799519497</c:v>
                </c:pt>
                <c:pt idx="14">
                  <c:v>1.502979887329444</c:v>
                </c:pt>
                <c:pt idx="15">
                  <c:v>1.7705923963199146</c:v>
                </c:pt>
                <c:pt idx="16">
                  <c:v>1.6909828781590457</c:v>
                </c:pt>
                <c:pt idx="17">
                  <c:v>1.6647460134875469</c:v>
                </c:pt>
                <c:pt idx="18">
                  <c:v>1.5723486142561707</c:v>
                </c:pt>
                <c:pt idx="19">
                  <c:v>1.5459183870375517</c:v>
                </c:pt>
                <c:pt idx="20">
                  <c:v>1.6315743266721976</c:v>
                </c:pt>
                <c:pt idx="21">
                  <c:v>1.7585351233850648</c:v>
                </c:pt>
                <c:pt idx="22">
                  <c:v>1.6505779412921431</c:v>
                </c:pt>
                <c:pt idx="23">
                  <c:v>1.5489639849035757</c:v>
                </c:pt>
                <c:pt idx="24">
                  <c:v>1.6197574143684139</c:v>
                </c:pt>
                <c:pt idx="25">
                  <c:v>1.5478520866060088</c:v>
                </c:pt>
                <c:pt idx="26">
                  <c:v>1.4569929524245102</c:v>
                </c:pt>
                <c:pt idx="27">
                  <c:v>1.4879232605348705</c:v>
                </c:pt>
                <c:pt idx="28">
                  <c:v>1.4190924672424006</c:v>
                </c:pt>
                <c:pt idx="29">
                  <c:v>1.3744609572734918</c:v>
                </c:pt>
                <c:pt idx="30">
                  <c:v>1.3067658816590728</c:v>
                </c:pt>
                <c:pt idx="31">
                  <c:v>1.2703384808989004</c:v>
                </c:pt>
                <c:pt idx="32">
                  <c:v>1.5393447568192749</c:v>
                </c:pt>
                <c:pt idx="33">
                  <c:v>1.4475261914083599</c:v>
                </c:pt>
                <c:pt idx="34">
                  <c:v>1.4488070278423733</c:v>
                </c:pt>
                <c:pt idx="35">
                  <c:v>1.4451594454486412</c:v>
                </c:pt>
                <c:pt idx="36">
                  <c:v>1.5254718862954197</c:v>
                </c:pt>
                <c:pt idx="37">
                  <c:v>1.4412902756164356</c:v>
                </c:pt>
                <c:pt idx="38">
                  <c:v>1.6744462977347963</c:v>
                </c:pt>
                <c:pt idx="39">
                  <c:v>1.7665436914360202</c:v>
                </c:pt>
                <c:pt idx="40">
                  <c:v>1.6584591058392313</c:v>
                </c:pt>
                <c:pt idx="41">
                  <c:v>1.6041936489443609</c:v>
                </c:pt>
                <c:pt idx="42">
                  <c:v>1.5101938909213994</c:v>
                </c:pt>
                <c:pt idx="43">
                  <c:v>1.4218625666739653</c:v>
                </c:pt>
                <c:pt idx="44">
                  <c:v>1.3491432384212398</c:v>
                </c:pt>
                <c:pt idx="45">
                  <c:v>1.4916647291264575</c:v>
                </c:pt>
                <c:pt idx="46">
                  <c:v>1.4601985679853136</c:v>
                </c:pt>
                <c:pt idx="47">
                  <c:v>1.3946629109132231</c:v>
                </c:pt>
                <c:pt idx="48">
                  <c:v>1.4259743631014898</c:v>
                </c:pt>
                <c:pt idx="49">
                  <c:v>1.3597980030332619</c:v>
                </c:pt>
                <c:pt idx="50">
                  <c:v>1.5510566105219257</c:v>
                </c:pt>
                <c:pt idx="51">
                  <c:v>1.4731676298514593</c:v>
                </c:pt>
                <c:pt idx="52">
                  <c:v>1.3991922927343547</c:v>
                </c:pt>
                <c:pt idx="53">
                  <c:v>1.3616832283145179</c:v>
                </c:pt>
                <c:pt idx="54">
                  <c:v>1.3342777431913586</c:v>
                </c:pt>
                <c:pt idx="55">
                  <c:v>1.375268397364608</c:v>
                </c:pt>
                <c:pt idx="56">
                  <c:v>1.4109260535622228</c:v>
                </c:pt>
                <c:pt idx="57">
                  <c:v>1.4052490292323918</c:v>
                </c:pt>
                <c:pt idx="58">
                  <c:v>1.3350376790599745</c:v>
                </c:pt>
                <c:pt idx="59">
                  <c:v>1.2771569215203646</c:v>
                </c:pt>
                <c:pt idx="60">
                  <c:v>1.3203091731658247</c:v>
                </c:pt>
                <c:pt idx="61">
                  <c:v>1.2774762377275781</c:v>
                </c:pt>
                <c:pt idx="62">
                  <c:v>1.2148019368715786</c:v>
                </c:pt>
                <c:pt idx="63">
                  <c:v>1.2848527368432221</c:v>
                </c:pt>
                <c:pt idx="64">
                  <c:v>1.3796430949764413</c:v>
                </c:pt>
                <c:pt idx="65">
                  <c:v>1.3845516225899648</c:v>
                </c:pt>
                <c:pt idx="66">
                  <c:v>1.5215172799216008</c:v>
                </c:pt>
                <c:pt idx="67">
                  <c:v>1.4317301861985252</c:v>
                </c:pt>
                <c:pt idx="68">
                  <c:v>1.4536105868398574</c:v>
                </c:pt>
                <c:pt idx="69">
                  <c:v>1.3868027324732175</c:v>
                </c:pt>
                <c:pt idx="70">
                  <c:v>1.3480432829284035</c:v>
                </c:pt>
                <c:pt idx="71">
                  <c:v>1.292445411013688</c:v>
                </c:pt>
                <c:pt idx="72">
                  <c:v>1.4650913259265073</c:v>
                </c:pt>
                <c:pt idx="73">
                  <c:v>1.3804953187679685</c:v>
                </c:pt>
                <c:pt idx="74">
                  <c:v>1.5391647126790466</c:v>
                </c:pt>
                <c:pt idx="75">
                  <c:v>2.1082107154185539</c:v>
                </c:pt>
                <c:pt idx="76">
                  <c:v>2.0482885990045405</c:v>
                </c:pt>
                <c:pt idx="77">
                  <c:v>1.91085434164159</c:v>
                </c:pt>
                <c:pt idx="78">
                  <c:v>1.7893777804078226</c:v>
                </c:pt>
                <c:pt idx="79">
                  <c:v>1.6753100765170008</c:v>
                </c:pt>
                <c:pt idx="80">
                  <c:v>1.8544530682038731</c:v>
                </c:pt>
                <c:pt idx="81">
                  <c:v>1.7378294611386991</c:v>
                </c:pt>
                <c:pt idx="82">
                  <c:v>1.6387747574080851</c:v>
                </c:pt>
                <c:pt idx="83">
                  <c:v>1.7368112747628981</c:v>
                </c:pt>
                <c:pt idx="84">
                  <c:v>1.6522523670060714</c:v>
                </c:pt>
                <c:pt idx="85">
                  <c:v>1.5995406075886429</c:v>
                </c:pt>
                <c:pt idx="86">
                  <c:v>1.525801764386828</c:v>
                </c:pt>
                <c:pt idx="87">
                  <c:v>1.51323466035331</c:v>
                </c:pt>
                <c:pt idx="88">
                  <c:v>1.4368949139087981</c:v>
                </c:pt>
                <c:pt idx="89">
                  <c:v>1.3821216274903476</c:v>
                </c:pt>
                <c:pt idx="90">
                  <c:v>1.3387440910078066</c:v>
                </c:pt>
                <c:pt idx="91">
                  <c:v>1.2684117480408128</c:v>
                </c:pt>
                <c:pt idx="92">
                  <c:v>1.3062533910382714</c:v>
                </c:pt>
                <c:pt idx="93">
                  <c:v>1.2931876621420657</c:v>
                </c:pt>
                <c:pt idx="94">
                  <c:v>1.2362394662641236</c:v>
                </c:pt>
                <c:pt idx="95">
                  <c:v>1.1892342443691304</c:v>
                </c:pt>
                <c:pt idx="96">
                  <c:v>1.3616427309759636</c:v>
                </c:pt>
                <c:pt idx="97">
                  <c:v>1.3012630911692562</c:v>
                </c:pt>
                <c:pt idx="98">
                  <c:v>1.2424851188775903</c:v>
                </c:pt>
                <c:pt idx="99">
                  <c:v>1.1805266083268418</c:v>
                </c:pt>
                <c:pt idx="100">
                  <c:v>1.12930548404647</c:v>
                </c:pt>
                <c:pt idx="101">
                  <c:v>1.288386258337914</c:v>
                </c:pt>
                <c:pt idx="102">
                  <c:v>1.2414541839012618</c:v>
                </c:pt>
                <c:pt idx="103">
                  <c:v>1.1910815312881564</c:v>
                </c:pt>
                <c:pt idx="104">
                  <c:v>1.2020080450624155</c:v>
                </c:pt>
                <c:pt idx="105">
                  <c:v>1.1468242943911089</c:v>
                </c:pt>
                <c:pt idx="106">
                  <c:v>1.1159711690024876</c:v>
                </c:pt>
                <c:pt idx="107">
                  <c:v>1.4378604787896305</c:v>
                </c:pt>
                <c:pt idx="108">
                  <c:v>1.3609333773711805</c:v>
                </c:pt>
                <c:pt idx="109">
                  <c:v>1.2951672464926633</c:v>
                </c:pt>
                <c:pt idx="110">
                  <c:v>1.2278487784098377</c:v>
                </c:pt>
                <c:pt idx="111">
                  <c:v>1.4775514673190535</c:v>
                </c:pt>
                <c:pt idx="112">
                  <c:v>1.3917098094592057</c:v>
                </c:pt>
                <c:pt idx="113">
                  <c:v>1.3150948083109246</c:v>
                </c:pt>
                <c:pt idx="114">
                  <c:v>1.7281862143967845</c:v>
                </c:pt>
                <c:pt idx="115">
                  <c:v>1.6225570797972622</c:v>
                </c:pt>
                <c:pt idx="116">
                  <c:v>1.532309146412103</c:v>
                </c:pt>
                <c:pt idx="117">
                  <c:v>1.4411632997622625</c:v>
                </c:pt>
                <c:pt idx="118">
                  <c:v>1.5066204155558176</c:v>
                </c:pt>
                <c:pt idx="119">
                  <c:v>2.3740391169379578</c:v>
                </c:pt>
                <c:pt idx="120">
                  <c:v>2.2702701130767577</c:v>
                </c:pt>
                <c:pt idx="121">
                  <c:v>2.4493429639408308</c:v>
                </c:pt>
                <c:pt idx="122">
                  <c:v>2.3534712256685237</c:v>
                </c:pt>
                <c:pt idx="123">
                  <c:v>3.1757121305666125</c:v>
                </c:pt>
                <c:pt idx="124">
                  <c:v>3.1143089735687086</c:v>
                </c:pt>
                <c:pt idx="125">
                  <c:v>3.0663712371791534</c:v>
                </c:pt>
                <c:pt idx="126">
                  <c:v>3.1765804639575679</c:v>
                </c:pt>
                <c:pt idx="127">
                  <c:v>3.3870916761141543</c:v>
                </c:pt>
                <c:pt idx="128">
                  <c:v>3.1515316852332904</c:v>
                </c:pt>
                <c:pt idx="129">
                  <c:v>2.9202740755968839</c:v>
                </c:pt>
                <c:pt idx="130">
                  <c:v>2.7177980936865311</c:v>
                </c:pt>
                <c:pt idx="131">
                  <c:v>2.6544357999033488</c:v>
                </c:pt>
                <c:pt idx="132">
                  <c:v>2.4643627022960328</c:v>
                </c:pt>
                <c:pt idx="133">
                  <c:v>2.3478119349068853</c:v>
                </c:pt>
                <c:pt idx="134">
                  <c:v>2.1995106595795439</c:v>
                </c:pt>
                <c:pt idx="135">
                  <c:v>2.1009580250246032</c:v>
                </c:pt>
                <c:pt idx="136">
                  <c:v>2.1290997584454323</c:v>
                </c:pt>
                <c:pt idx="137">
                  <c:v>2.0315551906746769</c:v>
                </c:pt>
                <c:pt idx="138">
                  <c:v>1.9010303467542915</c:v>
                </c:pt>
                <c:pt idx="139">
                  <c:v>1.8288790084610989</c:v>
                </c:pt>
                <c:pt idx="140">
                  <c:v>1.838528754851205</c:v>
                </c:pt>
                <c:pt idx="141">
                  <c:v>1.7249495081514647</c:v>
                </c:pt>
                <c:pt idx="142">
                  <c:v>1.765858584830265</c:v>
                </c:pt>
                <c:pt idx="143">
                  <c:v>1.8872559396141788</c:v>
                </c:pt>
                <c:pt idx="144">
                  <c:v>1.7674104671569975</c:v>
                </c:pt>
                <c:pt idx="145">
                  <c:v>1.6610674213768792</c:v>
                </c:pt>
                <c:pt idx="146">
                  <c:v>1.6095831435673797</c:v>
                </c:pt>
                <c:pt idx="147">
                  <c:v>1.6597600449270633</c:v>
                </c:pt>
                <c:pt idx="148">
                  <c:v>1.7145449049694605</c:v>
                </c:pt>
                <c:pt idx="149">
                  <c:v>1.6393946467233658</c:v>
                </c:pt>
                <c:pt idx="150">
                  <c:v>1.5470420332749029</c:v>
                </c:pt>
                <c:pt idx="151">
                  <c:v>1.4619415656628933</c:v>
                </c:pt>
                <c:pt idx="152">
                  <c:v>1.3909748507584039</c:v>
                </c:pt>
                <c:pt idx="153">
                  <c:v>1.3607238555154815</c:v>
                </c:pt>
                <c:pt idx="154">
                  <c:v>1.2934552146962417</c:v>
                </c:pt>
                <c:pt idx="155">
                  <c:v>1.2370770572966692</c:v>
                </c:pt>
                <c:pt idx="156">
                  <c:v>1.2324700006056672</c:v>
                </c:pt>
                <c:pt idx="157">
                  <c:v>1.5551882651193294</c:v>
                </c:pt>
                <c:pt idx="158">
                  <c:v>1.4940698299977351</c:v>
                </c:pt>
                <c:pt idx="159">
                  <c:v>1.5419231967759404</c:v>
                </c:pt>
                <c:pt idx="160">
                  <c:v>1.5006141519943066</c:v>
                </c:pt>
                <c:pt idx="161">
                  <c:v>1.5053468665156975</c:v>
                </c:pt>
                <c:pt idx="162">
                  <c:v>1.4882843297614319</c:v>
                </c:pt>
                <c:pt idx="163">
                  <c:v>1.5545086734741418</c:v>
                </c:pt>
                <c:pt idx="164">
                  <c:v>1.5265310930919302</c:v>
                </c:pt>
                <c:pt idx="165">
                  <c:v>1.5313676155046847</c:v>
                </c:pt>
                <c:pt idx="166">
                  <c:v>1.4623383577374145</c:v>
                </c:pt>
                <c:pt idx="167">
                  <c:v>1.4530602323240986</c:v>
                </c:pt>
                <c:pt idx="168">
                  <c:v>1.7284204454183709</c:v>
                </c:pt>
                <c:pt idx="169">
                  <c:v>1.6249479766408448</c:v>
                </c:pt>
                <c:pt idx="170">
                  <c:v>1.5678604853832321</c:v>
                </c:pt>
                <c:pt idx="171">
                  <c:v>1.5412428190844436</c:v>
                </c:pt>
                <c:pt idx="172">
                  <c:v>1.5126583927262176</c:v>
                </c:pt>
                <c:pt idx="173">
                  <c:v>1.4236796303930863</c:v>
                </c:pt>
                <c:pt idx="174">
                  <c:v>1.3558992410140256</c:v>
                </c:pt>
                <c:pt idx="175">
                  <c:v>1.2910886936454775</c:v>
                </c:pt>
                <c:pt idx="176">
                  <c:v>1.3065107142626307</c:v>
                </c:pt>
                <c:pt idx="177">
                  <c:v>1.2379507266697216</c:v>
                </c:pt>
                <c:pt idx="178">
                  <c:v>1.3958269230825542</c:v>
                </c:pt>
                <c:pt idx="179">
                  <c:v>1.3256985368895364</c:v>
                </c:pt>
                <c:pt idx="180">
                  <c:v>1.8680221227508802</c:v>
                </c:pt>
                <c:pt idx="181">
                  <c:v>1.7990710747715606</c:v>
                </c:pt>
                <c:pt idx="182">
                  <c:v>1.7455818288602603</c:v>
                </c:pt>
                <c:pt idx="183">
                  <c:v>1.7274185286252695</c:v>
                </c:pt>
                <c:pt idx="184">
                  <c:v>1.6443877247617542</c:v>
                </c:pt>
                <c:pt idx="185">
                  <c:v>1.5463832210515964</c:v>
                </c:pt>
                <c:pt idx="186">
                  <c:v>1.5057940475667739</c:v>
                </c:pt>
                <c:pt idx="187">
                  <c:v>1.4436912029110798</c:v>
                </c:pt>
                <c:pt idx="188">
                  <c:v>1.3613978636484074</c:v>
                </c:pt>
                <c:pt idx="189">
                  <c:v>1.3491703524706264</c:v>
                </c:pt>
                <c:pt idx="190">
                  <c:v>1.5285513984303771</c:v>
                </c:pt>
                <c:pt idx="191">
                  <c:v>1.461280299543575</c:v>
                </c:pt>
                <c:pt idx="192">
                  <c:v>1.4477020153089224</c:v>
                </c:pt>
                <c:pt idx="193">
                  <c:v>1.3706370691730989</c:v>
                </c:pt>
                <c:pt idx="194">
                  <c:v>1.433888326922562</c:v>
                </c:pt>
                <c:pt idx="195">
                  <c:v>1.3571584827159446</c:v>
                </c:pt>
                <c:pt idx="196">
                  <c:v>1.3017945340084118</c:v>
                </c:pt>
                <c:pt idx="197">
                  <c:v>1.3071649347048562</c:v>
                </c:pt>
                <c:pt idx="198">
                  <c:v>1.2422706557499843</c:v>
                </c:pt>
                <c:pt idx="199">
                  <c:v>1.181013751380267</c:v>
                </c:pt>
                <c:pt idx="200">
                  <c:v>1.2678578448785376</c:v>
                </c:pt>
                <c:pt idx="201">
                  <c:v>1.2233229052668042</c:v>
                </c:pt>
                <c:pt idx="202">
                  <c:v>1.2052587285032144</c:v>
                </c:pt>
                <c:pt idx="203">
                  <c:v>1.2898320529756078</c:v>
                </c:pt>
                <c:pt idx="204">
                  <c:v>1.3647153141328845</c:v>
                </c:pt>
                <c:pt idx="205">
                  <c:v>1.4944623959399441</c:v>
                </c:pt>
                <c:pt idx="206">
                  <c:v>1.4987851351954877</c:v>
                </c:pt>
                <c:pt idx="207">
                  <c:v>1.4443851625606132</c:v>
                </c:pt>
                <c:pt idx="208">
                  <c:v>1.393353414233045</c:v>
                </c:pt>
                <c:pt idx="209">
                  <c:v>1.3493733649312267</c:v>
                </c:pt>
                <c:pt idx="210">
                  <c:v>2.5010164860774027</c:v>
                </c:pt>
                <c:pt idx="211">
                  <c:v>2.3651580104251684</c:v>
                </c:pt>
                <c:pt idx="212">
                  <c:v>2.2933821883274002</c:v>
                </c:pt>
                <c:pt idx="213">
                  <c:v>2.2109976632884623</c:v>
                </c:pt>
                <c:pt idx="214">
                  <c:v>2.0952564270017358</c:v>
                </c:pt>
                <c:pt idx="215">
                  <c:v>1.9586507556896087</c:v>
                </c:pt>
                <c:pt idx="216">
                  <c:v>1.8718516689330353</c:v>
                </c:pt>
                <c:pt idx="217">
                  <c:v>1.7926823323112175</c:v>
                </c:pt>
                <c:pt idx="218">
                  <c:v>1.681443320976989</c:v>
                </c:pt>
                <c:pt idx="219">
                  <c:v>1.5937350677475259</c:v>
                </c:pt>
                <c:pt idx="220">
                  <c:v>1.4977561243184712</c:v>
                </c:pt>
                <c:pt idx="221">
                  <c:v>1.8482218515354167</c:v>
                </c:pt>
                <c:pt idx="222">
                  <c:v>2.0982468656823396</c:v>
                </c:pt>
                <c:pt idx="223">
                  <c:v>2.0056138274831645</c:v>
                </c:pt>
                <c:pt idx="224">
                  <c:v>2.0516660614770701</c:v>
                </c:pt>
                <c:pt idx="225">
                  <c:v>1.9321720326752259</c:v>
                </c:pt>
                <c:pt idx="226">
                  <c:v>1.8980233780456099</c:v>
                </c:pt>
                <c:pt idx="227">
                  <c:v>1.7736512902005941</c:v>
                </c:pt>
                <c:pt idx="228">
                  <c:v>1.7416222429017123</c:v>
                </c:pt>
                <c:pt idx="229">
                  <c:v>1.6786819853749473</c:v>
                </c:pt>
                <c:pt idx="230">
                  <c:v>1.6199519039894379</c:v>
                </c:pt>
                <c:pt idx="231">
                  <c:v>1.5681830930321976</c:v>
                </c:pt>
                <c:pt idx="232">
                  <c:v>1.4797313205533211</c:v>
                </c:pt>
                <c:pt idx="233">
                  <c:v>1.3941690179955073</c:v>
                </c:pt>
                <c:pt idx="234">
                  <c:v>1.3503409516029525</c:v>
                </c:pt>
                <c:pt idx="235">
                  <c:v>1.6893402180647774</c:v>
                </c:pt>
                <c:pt idx="236">
                  <c:v>1.6376674850704969</c:v>
                </c:pt>
                <c:pt idx="237">
                  <c:v>1.8913739202798308</c:v>
                </c:pt>
                <c:pt idx="238">
                  <c:v>1.7717619826299289</c:v>
                </c:pt>
                <c:pt idx="239">
                  <c:v>1.6878356933181147</c:v>
                </c:pt>
                <c:pt idx="240">
                  <c:v>1.6458098422108081</c:v>
                </c:pt>
                <c:pt idx="241">
                  <c:v>1.595795398932855</c:v>
                </c:pt>
                <c:pt idx="242">
                  <c:v>1.4993451230958252</c:v>
                </c:pt>
                <c:pt idx="243">
                  <c:v>1.4368383744567028</c:v>
                </c:pt>
                <c:pt idx="244">
                  <c:v>1.4330100490191713</c:v>
                </c:pt>
                <c:pt idx="245">
                  <c:v>1.4973928106998586</c:v>
                </c:pt>
                <c:pt idx="246">
                  <c:v>1.4216842961822711</c:v>
                </c:pt>
                <c:pt idx="247">
                  <c:v>1.3606350658592676</c:v>
                </c:pt>
                <c:pt idx="248">
                  <c:v>1.3275750499602261</c:v>
                </c:pt>
                <c:pt idx="249">
                  <c:v>1.5944665857403821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5-3145-AD8B-C065C5578762}"/>
            </c:ext>
          </c:extLst>
        </c:ser>
        <c:ser>
          <c:idx val="1"/>
          <c:order val="1"/>
          <c:tx>
            <c:v>VaR 99%</c:v>
          </c:tx>
          <c:spPr>
            <a:ln w="28575" cap="rnd">
              <a:solidFill>
                <a:srgbClr val="C62828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MOTIVATION'!$O$4:$O$253</c:f>
              <c:numCache>
                <c:formatCode>0.00</c:formatCode>
                <c:ptCount val="250"/>
                <c:pt idx="0">
                  <c:v>1.8019813147290404</c:v>
                </c:pt>
                <c:pt idx="1">
                  <c:v>1.763475607689432</c:v>
                </c:pt>
                <c:pt idx="2">
                  <c:v>1.6773990493788244</c:v>
                </c:pt>
                <c:pt idx="3">
                  <c:v>1.6717657315950867</c:v>
                </c:pt>
                <c:pt idx="4">
                  <c:v>1.9836195682313964</c:v>
                </c:pt>
                <c:pt idx="5">
                  <c:v>1.8813574267694386</c:v>
                </c:pt>
                <c:pt idx="6">
                  <c:v>1.7868487730890017</c:v>
                </c:pt>
                <c:pt idx="7">
                  <c:v>2.0368648644421645</c:v>
                </c:pt>
                <c:pt idx="8">
                  <c:v>2.0285740521161224</c:v>
                </c:pt>
                <c:pt idx="9">
                  <c:v>1.9457689765245618</c:v>
                </c:pt>
                <c:pt idx="10">
                  <c:v>1.8827962704329655</c:v>
                </c:pt>
                <c:pt idx="11">
                  <c:v>1.8097414611687266</c:v>
                </c:pt>
                <c:pt idx="12">
                  <c:v>1.7442179775062361</c:v>
                </c:pt>
                <c:pt idx="13">
                  <c:v>1.6687724543053717</c:v>
                </c:pt>
                <c:pt idx="14">
                  <c:v>2.1256931366563179</c:v>
                </c:pt>
                <c:pt idx="15">
                  <c:v>2.5041826150851993</c:v>
                </c:pt>
                <c:pt idx="16">
                  <c:v>2.3915893543278903</c:v>
                </c:pt>
                <c:pt idx="17">
                  <c:v>2.3544820559337096</c:v>
                </c:pt>
                <c:pt idx="18">
                  <c:v>2.2238026509417925</c:v>
                </c:pt>
                <c:pt idx="19">
                  <c:v>2.1864218762071999</c:v>
                </c:pt>
                <c:pt idx="20">
                  <c:v>2.3075667062413121</c:v>
                </c:pt>
                <c:pt idx="21">
                  <c:v>2.4871297838793591</c:v>
                </c:pt>
                <c:pt idx="22">
                  <c:v>2.3344438810523851</c:v>
                </c:pt>
                <c:pt idx="23">
                  <c:v>2.1907293233895606</c:v>
                </c:pt>
                <c:pt idx="24">
                  <c:v>2.2908538216628926</c:v>
                </c:pt>
                <c:pt idx="25">
                  <c:v>2.1891567444084825</c:v>
                </c:pt>
                <c:pt idx="26">
                  <c:v>2.0606529370319753</c:v>
                </c:pt>
                <c:pt idx="27">
                  <c:v>2.1043982620487207</c:v>
                </c:pt>
                <c:pt idx="28">
                  <c:v>2.0070495575677927</c:v>
                </c:pt>
                <c:pt idx="29">
                  <c:v>1.9439263612966227</c:v>
                </c:pt>
                <c:pt idx="30">
                  <c:v>1.8481839240011466</c:v>
                </c:pt>
                <c:pt idx="31">
                  <c:v>1.7966639559464082</c:v>
                </c:pt>
                <c:pt idx="32">
                  <c:v>2.1771246655421015</c:v>
                </c:pt>
                <c:pt idx="33">
                  <c:v>2.0472639162685957</c:v>
                </c:pt>
                <c:pt idx="34">
                  <c:v>2.0490754276799685</c:v>
                </c:pt>
                <c:pt idx="35">
                  <c:v>2.0439165822921428</c:v>
                </c:pt>
                <c:pt idx="36">
                  <c:v>2.1575040000183074</c:v>
                </c:pt>
                <c:pt idx="37">
                  <c:v>2.0384443415614362</c:v>
                </c:pt>
                <c:pt idx="38">
                  <c:v>2.3682013530592561</c:v>
                </c:pt>
                <c:pt idx="39">
                  <c:v>2.4984564545047454</c:v>
                </c:pt>
                <c:pt idx="40">
                  <c:v>2.3455903624709564</c:v>
                </c:pt>
                <c:pt idx="41">
                  <c:v>2.2688416912136802</c:v>
                </c:pt>
                <c:pt idx="42">
                  <c:v>2.1358960396043281</c:v>
                </c:pt>
                <c:pt idx="43">
                  <c:v>2.0109673620568436</c:v>
                </c:pt>
                <c:pt idx="44">
                  <c:v>1.9081190283750549</c:v>
                </c:pt>
                <c:pt idx="45">
                  <c:v>2.1096898924778436</c:v>
                </c:pt>
                <c:pt idx="46">
                  <c:v>2.0651867002937485</c:v>
                </c:pt>
                <c:pt idx="47">
                  <c:v>1.9724983698517933</c:v>
                </c:pt>
                <c:pt idx="48">
                  <c:v>2.0167827542114569</c:v>
                </c:pt>
                <c:pt idx="49">
                  <c:v>1.9231882652952554</c:v>
                </c:pt>
                <c:pt idx="50">
                  <c:v>2.1936889637360606</c:v>
                </c:pt>
                <c:pt idx="51">
                  <c:v>2.0835290919851781</c:v>
                </c:pt>
                <c:pt idx="52">
                  <c:v>1.978904360997545</c:v>
                </c:pt>
                <c:pt idx="53">
                  <c:v>1.9258545753870941</c:v>
                </c:pt>
                <c:pt idx="54">
                  <c:v>1.8870944747868474</c:v>
                </c:pt>
                <c:pt idx="55">
                  <c:v>1.945068339226212</c:v>
                </c:pt>
                <c:pt idx="56">
                  <c:v>1.9954996428567615</c:v>
                </c:pt>
                <c:pt idx="57">
                  <c:v>1.9874705190100048</c:v>
                </c:pt>
                <c:pt idx="58">
                  <c:v>1.888169266588011</c:v>
                </c:pt>
                <c:pt idx="59">
                  <c:v>1.8063074066365556</c:v>
                </c:pt>
                <c:pt idx="60">
                  <c:v>1.8673384596315548</c:v>
                </c:pt>
                <c:pt idx="61">
                  <c:v>1.8067590216420653</c:v>
                </c:pt>
                <c:pt idx="62">
                  <c:v>1.7181175619010081</c:v>
                </c:pt>
                <c:pt idx="63">
                  <c:v>1.8171917451101995</c:v>
                </c:pt>
                <c:pt idx="64">
                  <c:v>1.9512555575428483</c:v>
                </c:pt>
                <c:pt idx="65">
                  <c:v>1.9581977818181808</c:v>
                </c:pt>
                <c:pt idx="66">
                  <c:v>2.151910924756375</c:v>
                </c:pt>
                <c:pt idx="67">
                  <c:v>2.0249233246584208</c:v>
                </c:pt>
                <c:pt idx="68">
                  <c:v>2.0558691928384758</c:v>
                </c:pt>
                <c:pt idx="69">
                  <c:v>1.9613815694849552</c:v>
                </c:pt>
                <c:pt idx="70">
                  <c:v>1.9065633403306166</c:v>
                </c:pt>
                <c:pt idx="71">
                  <c:v>1.8279302090837293</c:v>
                </c:pt>
                <c:pt idx="72">
                  <c:v>2.0721066212205659</c:v>
                </c:pt>
                <c:pt idx="73">
                  <c:v>1.9524608739145553</c:v>
                </c:pt>
                <c:pt idx="74">
                  <c:v>2.1768700256787175</c:v>
                </c:pt>
                <c:pt idx="75">
                  <c:v>2.9816826467007993</c:v>
                </c:pt>
                <c:pt idx="76">
                  <c:v>2.8969336539371526</c:v>
                </c:pt>
                <c:pt idx="77">
                  <c:v>2.7025577610321765</c:v>
                </c:pt>
                <c:pt idx="78">
                  <c:v>2.5307511422902249</c:v>
                </c:pt>
                <c:pt idx="79">
                  <c:v>2.3694230118747872</c:v>
                </c:pt>
                <c:pt idx="80">
                  <c:v>2.6227883636796543</c:v>
                </c:pt>
                <c:pt idx="81">
                  <c:v>2.4578453706293391</c:v>
                </c:pt>
                <c:pt idx="82">
                  <c:v>2.3177504128399691</c:v>
                </c:pt>
                <c:pt idx="83">
                  <c:v>2.4564053302075588</c:v>
                </c:pt>
                <c:pt idx="84">
                  <c:v>2.3368120532933738</c:v>
                </c:pt>
                <c:pt idx="85">
                  <c:v>2.2622608060283156</c:v>
                </c:pt>
                <c:pt idx="86">
                  <c:v>2.1579705528981905</c:v>
                </c:pt>
                <c:pt idx="87">
                  <c:v>2.1401966578401792</c:v>
                </c:pt>
                <c:pt idx="88">
                  <c:v>2.0322278976197623</c:v>
                </c:pt>
                <c:pt idx="89">
                  <c:v>1.9547609933761594</c:v>
                </c:pt>
                <c:pt idx="90">
                  <c:v>1.8934113157368702</c:v>
                </c:pt>
                <c:pt idx="91">
                  <c:v>1.79393894089655</c:v>
                </c:pt>
                <c:pt idx="92">
                  <c:v>1.8474590987360702</c:v>
                </c:pt>
                <c:pt idx="93">
                  <c:v>1.8289799890192888</c:v>
                </c:pt>
                <c:pt idx="94">
                  <c:v>1.748437068822402</c:v>
                </c:pt>
                <c:pt idx="95">
                  <c:v>1.6819566864756135</c:v>
                </c:pt>
                <c:pt idx="96">
                  <c:v>1.9257972992283485</c:v>
                </c:pt>
                <c:pt idx="97">
                  <c:v>1.8404012223993009</c:v>
                </c:pt>
                <c:pt idx="98">
                  <c:v>1.7572704145020808</c:v>
                </c:pt>
                <c:pt idx="99">
                  <c:v>1.6696413106494719</c:v>
                </c:pt>
                <c:pt idx="100">
                  <c:v>1.5971982971051795</c:v>
                </c:pt>
                <c:pt idx="101">
                  <c:v>1.8221892719918402</c:v>
                </c:pt>
                <c:pt idx="102">
                  <c:v>1.7558123434912876</c:v>
                </c:pt>
                <c:pt idx="103">
                  <c:v>1.6845693396177563</c:v>
                </c:pt>
                <c:pt idx="104">
                  <c:v>1.7000229165640142</c:v>
                </c:pt>
                <c:pt idx="105">
                  <c:v>1.6219754848945325</c:v>
                </c:pt>
                <c:pt idx="106">
                  <c:v>1.5783393208740533</c:v>
                </c:pt>
                <c:pt idx="107">
                  <c:v>2.0335935144570101</c:v>
                </c:pt>
                <c:pt idx="108">
                  <c:v>1.9247940468882063</c:v>
                </c:pt>
                <c:pt idx="109">
                  <c:v>1.8317797529435915</c:v>
                </c:pt>
                <c:pt idx="110">
                  <c:v>1.73656995886701</c:v>
                </c:pt>
                <c:pt idx="111">
                  <c:v>2.0897292369742368</c:v>
                </c:pt>
                <c:pt idx="112">
                  <c:v>1.9683217421100818</c:v>
                </c:pt>
                <c:pt idx="113">
                  <c:v>1.8599636839093208</c:v>
                </c:pt>
                <c:pt idx="114">
                  <c:v>2.4442067427360588</c:v>
                </c:pt>
                <c:pt idx="115">
                  <c:v>2.2948134419061224</c:v>
                </c:pt>
                <c:pt idx="116">
                  <c:v>2.1671740674796838</c:v>
                </c:pt>
                <c:pt idx="117">
                  <c:v>2.0382647571877448</c:v>
                </c:pt>
                <c:pt idx="118">
                  <c:v>2.1308420052006309</c:v>
                </c:pt>
                <c:pt idx="119">
                  <c:v>3.3576488278864676</c:v>
                </c:pt>
                <c:pt idx="120">
                  <c:v>3.2108863454574088</c:v>
                </c:pt>
                <c:pt idx="121">
                  <c:v>3.4641524957580638</c:v>
                </c:pt>
                <c:pt idx="122">
                  <c:v>3.3285592667582642</c:v>
                </c:pt>
                <c:pt idx="123">
                  <c:v>4.4914702697295459</c:v>
                </c:pt>
                <c:pt idx="124">
                  <c:v>4.4046266130047744</c:v>
                </c:pt>
                <c:pt idx="125">
                  <c:v>4.336827357612755</c:v>
                </c:pt>
                <c:pt idx="126">
                  <c:v>4.4926983702151508</c:v>
                </c:pt>
                <c:pt idx="127">
                  <c:v>4.7904283948434658</c:v>
                </c:pt>
                <c:pt idx="128">
                  <c:v>4.4572714044488757</c:v>
                </c:pt>
                <c:pt idx="129">
                  <c:v>4.1301993539524986</c:v>
                </c:pt>
                <c:pt idx="130">
                  <c:v>3.8438337088011583</c:v>
                </c:pt>
                <c:pt idx="131">
                  <c:v>3.7542192075339238</c:v>
                </c:pt>
                <c:pt idx="132">
                  <c:v>3.4853951983418994</c:v>
                </c:pt>
                <c:pt idx="133">
                  <c:v>3.3205552238354197</c:v>
                </c:pt>
                <c:pt idx="134">
                  <c:v>3.1108099000434661</c:v>
                </c:pt>
                <c:pt idx="135">
                  <c:v>2.9714250282704504</c:v>
                </c:pt>
                <c:pt idx="136">
                  <c:v>3.0112264188882318</c:v>
                </c:pt>
                <c:pt idx="137">
                  <c:v>2.8732672752054578</c:v>
                </c:pt>
                <c:pt idx="138">
                  <c:v>2.6886634975875849</c:v>
                </c:pt>
                <c:pt idx="139">
                  <c:v>2.586618482944758</c:v>
                </c:pt>
                <c:pt idx="140">
                  <c:v>2.6002663034145117</c:v>
                </c:pt>
                <c:pt idx="141">
                  <c:v>2.4396290073258569</c:v>
                </c:pt>
                <c:pt idx="142">
                  <c:v>2.4974874951580444</c:v>
                </c:pt>
                <c:pt idx="143">
                  <c:v>2.6691820907064367</c:v>
                </c:pt>
                <c:pt idx="144">
                  <c:v>2.4996823519479743</c:v>
                </c:pt>
                <c:pt idx="145">
                  <c:v>2.34927935291145</c:v>
                </c:pt>
                <c:pt idx="146">
                  <c:v>2.2764641563090406</c:v>
                </c:pt>
                <c:pt idx="147">
                  <c:v>2.3474303054492527</c:v>
                </c:pt>
                <c:pt idx="148">
                  <c:v>2.4249135784900679</c:v>
                </c:pt>
                <c:pt idx="149">
                  <c:v>2.3186271341281826</c:v>
                </c:pt>
                <c:pt idx="150">
                  <c:v>2.1880110705237059</c:v>
                </c:pt>
                <c:pt idx="151">
                  <c:v>2.0676518551715182</c:v>
                </c:pt>
                <c:pt idx="152">
                  <c:v>1.9672822759940072</c:v>
                </c:pt>
                <c:pt idx="153">
                  <c:v>1.9244977161292962</c:v>
                </c:pt>
                <c:pt idx="154">
                  <c:v>1.8293583937024793</c:v>
                </c:pt>
                <c:pt idx="155">
                  <c:v>1.7496216898038381</c:v>
                </c:pt>
                <c:pt idx="156">
                  <c:v>1.7431058416073262</c:v>
                </c:pt>
                <c:pt idx="157">
                  <c:v>2.1995324416792954</c:v>
                </c:pt>
                <c:pt idx="158">
                  <c:v>2.1130914725376573</c:v>
                </c:pt>
                <c:pt idx="159">
                  <c:v>2.1807714023782832</c:v>
                </c:pt>
                <c:pt idx="160">
                  <c:v>2.1223472320254966</c:v>
                </c:pt>
                <c:pt idx="161">
                  <c:v>2.1290408004895096</c:v>
                </c:pt>
                <c:pt idx="162">
                  <c:v>2.1049089291462848</c:v>
                </c:pt>
                <c:pt idx="163">
                  <c:v>2.1985712822465695</c:v>
                </c:pt>
                <c:pt idx="164">
                  <c:v>2.1590020564039074</c:v>
                </c:pt>
                <c:pt idx="165">
                  <c:v>2.1658424423496863</c:v>
                </c:pt>
                <c:pt idx="166">
                  <c:v>2.0682130457746655</c:v>
                </c:pt>
                <c:pt idx="167">
                  <c:v>2.0550908159441885</c:v>
                </c:pt>
                <c:pt idx="168">
                  <c:v>2.4445380201398188</c:v>
                </c:pt>
                <c:pt idx="169">
                  <c:v>2.2981949329385056</c:v>
                </c:pt>
                <c:pt idx="170">
                  <c:v>2.2174550046279178</c:v>
                </c:pt>
                <c:pt idx="171">
                  <c:v>2.1798091312252614</c:v>
                </c:pt>
                <c:pt idx="172">
                  <c:v>2.1393816315380216</c:v>
                </c:pt>
                <c:pt idx="173">
                  <c:v>2.0135372699505987</c:v>
                </c:pt>
                <c:pt idx="174">
                  <c:v>1.9176741717697108</c:v>
                </c:pt>
                <c:pt idx="175">
                  <c:v>1.8260113778190528</c:v>
                </c:pt>
                <c:pt idx="176">
                  <c:v>1.8478230358828904</c:v>
                </c:pt>
                <c:pt idx="177">
                  <c:v>1.7508573370707516</c:v>
                </c:pt>
                <c:pt idx="178">
                  <c:v>1.9741446544762189</c:v>
                </c:pt>
                <c:pt idx="179">
                  <c:v>1.8749607395935268</c:v>
                </c:pt>
                <c:pt idx="180">
                  <c:v>2.6419793364695421</c:v>
                </c:pt>
                <c:pt idx="181">
                  <c:v>2.544460553490131</c:v>
                </c:pt>
                <c:pt idx="182">
                  <c:v>2.4688096922396832</c:v>
                </c:pt>
                <c:pt idx="183">
                  <c:v>2.44312099009933</c:v>
                </c:pt>
                <c:pt idx="184">
                  <c:v>2.3256889396829132</c:v>
                </c:pt>
                <c:pt idx="185">
                  <c:v>2.187079299823889</c:v>
                </c:pt>
                <c:pt idx="186">
                  <c:v>2.1296732571837937</c:v>
                </c:pt>
                <c:pt idx="187">
                  <c:v>2.041840018852171</c:v>
                </c:pt>
                <c:pt idx="188">
                  <c:v>1.9254509786940781</c:v>
                </c:pt>
                <c:pt idx="189">
                  <c:v>1.908157376292531</c:v>
                </c:pt>
                <c:pt idx="190">
                  <c:v>2.1618594127984214</c:v>
                </c:pt>
                <c:pt idx="191">
                  <c:v>2.0667166138797426</c:v>
                </c:pt>
                <c:pt idx="192">
                  <c:v>2.0475125873664837</c:v>
                </c:pt>
                <c:pt idx="193">
                  <c:v>1.9385181633833493</c:v>
                </c:pt>
                <c:pt idx="194">
                  <c:v>2.0279756242691467</c:v>
                </c:pt>
                <c:pt idx="195">
                  <c:v>1.9194551413393814</c:v>
                </c:pt>
                <c:pt idx="196">
                  <c:v>1.841152852148469</c:v>
                </c:pt>
                <c:pt idx="197">
                  <c:v>1.8487483123390978</c:v>
                </c:pt>
                <c:pt idx="198">
                  <c:v>1.7569670952080163</c:v>
                </c:pt>
                <c:pt idx="199">
                  <c:v>1.6703302863662901</c:v>
                </c:pt>
                <c:pt idx="200">
                  <c:v>1.7931555450837737</c:v>
                </c:pt>
                <c:pt idx="201">
                  <c:v>1.7301689301116503</c:v>
                </c:pt>
                <c:pt idx="202">
                  <c:v>1.7046204201885147</c:v>
                </c:pt>
                <c:pt idx="203">
                  <c:v>1.8242340869386464</c:v>
                </c:pt>
                <c:pt idx="204">
                  <c:v>1.9301429122225968</c:v>
                </c:pt>
                <c:pt idx="205">
                  <c:v>2.1136466860412271</c:v>
                </c:pt>
                <c:pt idx="206">
                  <c:v>2.1197604186630192</c:v>
                </c:pt>
                <c:pt idx="207">
                  <c:v>2.0428214992276343</c:v>
                </c:pt>
                <c:pt idx="208">
                  <c:v>1.9706463237073337</c:v>
                </c:pt>
                <c:pt idx="209">
                  <c:v>1.9084445006897315</c:v>
                </c:pt>
                <c:pt idx="210">
                  <c:v>3.5372353442236819</c:v>
                </c:pt>
                <c:pt idx="211">
                  <c:v>3.3450881094634854</c:v>
                </c:pt>
                <c:pt idx="212">
                  <c:v>3.2435741945419827</c:v>
                </c:pt>
                <c:pt idx="213">
                  <c:v>3.1270561886003803</c:v>
                </c:pt>
                <c:pt idx="214">
                  <c:v>2.963361149380682</c:v>
                </c:pt>
                <c:pt idx="215">
                  <c:v>2.770157141539646</c:v>
                </c:pt>
                <c:pt idx="216">
                  <c:v>2.6473955367158277</c:v>
                </c:pt>
                <c:pt idx="217">
                  <c:v>2.5354248331093703</c:v>
                </c:pt>
                <c:pt idx="218">
                  <c:v>2.3780973765578688</c:v>
                </c:pt>
                <c:pt idx="219">
                  <c:v>2.2540499202414308</c:v>
                </c:pt>
                <c:pt idx="220">
                  <c:v>2.1183050689426013</c:v>
                </c:pt>
                <c:pt idx="221">
                  <c:v>2.6139754350324909</c:v>
                </c:pt>
                <c:pt idx="222">
                  <c:v>2.9675905838744767</c:v>
                </c:pt>
                <c:pt idx="223">
                  <c:v>2.8365779101936033</c:v>
                </c:pt>
                <c:pt idx="224">
                  <c:v>2.9017104635656086</c:v>
                </c:pt>
                <c:pt idx="225">
                  <c:v>2.7327077782756386</c:v>
                </c:pt>
                <c:pt idx="226">
                  <c:v>2.68441068435963</c:v>
                </c:pt>
                <c:pt idx="227">
                  <c:v>2.5085088670748212</c:v>
                </c:pt>
                <c:pt idx="228">
                  <c:v>2.4632095742560414</c:v>
                </c:pt>
                <c:pt idx="229">
                  <c:v>2.3741919669201557</c:v>
                </c:pt>
                <c:pt idx="230">
                  <c:v>2.2911288920454354</c:v>
                </c:pt>
                <c:pt idx="231">
                  <c:v>2.2179112747823089</c:v>
                </c:pt>
                <c:pt idx="232">
                  <c:v>2.092812245002531</c:v>
                </c:pt>
                <c:pt idx="233">
                  <c:v>1.9717998476730985</c:v>
                </c:pt>
                <c:pt idx="234">
                  <c:v>1.9098129769844223</c:v>
                </c:pt>
                <c:pt idx="235">
                  <c:v>2.3892661088089833</c:v>
                </c:pt>
                <c:pt idx="236">
                  <c:v>2.3161843764423677</c:v>
                </c:pt>
                <c:pt idx="237">
                  <c:v>2.67500622934705</c:v>
                </c:pt>
                <c:pt idx="238">
                  <c:v>2.5058367833231672</c:v>
                </c:pt>
                <c:pt idx="239">
                  <c:v>2.3871382307482905</c:v>
                </c:pt>
                <c:pt idx="240">
                  <c:v>2.327700267529984</c:v>
                </c:pt>
                <c:pt idx="241">
                  <c:v>2.2569638859550203</c:v>
                </c:pt>
                <c:pt idx="242">
                  <c:v>2.1205524202369546</c:v>
                </c:pt>
                <c:pt idx="243">
                  <c:v>2.0321479327936971</c:v>
                </c:pt>
                <c:pt idx="244">
                  <c:v>2.0267334590698289</c:v>
                </c:pt>
                <c:pt idx="245">
                  <c:v>2.1177912275585289</c:v>
                </c:pt>
                <c:pt idx="246">
                  <c:v>2.0107152306984286</c:v>
                </c:pt>
                <c:pt idx="247">
                  <c:v>1.9243721392241022</c:v>
                </c:pt>
                <c:pt idx="248">
                  <c:v>1.8776147278397028</c:v>
                </c:pt>
                <c:pt idx="249">
                  <c:v>2.2550845200985972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5-3145-AD8B-C065C5578762}"/>
            </c:ext>
          </c:extLst>
        </c:ser>
        <c:ser>
          <c:idx val="2"/>
          <c:order val="2"/>
          <c:tx>
            <c:v>ES 95%</c:v>
          </c:tx>
          <c:spPr>
            <a:ln w="28575" cap="rnd">
              <a:solidFill>
                <a:srgbClr val="2E7D32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MOTIVATION'!$P$4:$P$253</c:f>
              <c:numCache>
                <c:formatCode>0.00</c:formatCode>
                <c:ptCount val="250"/>
                <c:pt idx="0">
                  <c:v>1.5977704702970024</c:v>
                </c:pt>
                <c:pt idx="1">
                  <c:v>1.5636284505419058</c:v>
                </c:pt>
                <c:pt idx="2">
                  <c:v>1.4873065808702624</c:v>
                </c:pt>
                <c:pt idx="3">
                  <c:v>1.4823116629257282</c:v>
                </c:pt>
                <c:pt idx="4">
                  <c:v>1.7588244364786798</c:v>
                </c:pt>
                <c:pt idx="5">
                  <c:v>1.6681512266502974</c:v>
                </c:pt>
                <c:pt idx="6">
                  <c:v>1.5843528349556342</c:v>
                </c:pt>
                <c:pt idx="7">
                  <c:v>1.8060356707308922</c:v>
                </c:pt>
                <c:pt idx="8">
                  <c:v>1.7986844207478609</c:v>
                </c:pt>
                <c:pt idx="9">
                  <c:v>1.7252632906343108</c:v>
                </c:pt>
                <c:pt idx="10">
                  <c:v>1.6694270123080985</c:v>
                </c:pt>
                <c:pt idx="11">
                  <c:v>1.6046511924916027</c:v>
                </c:pt>
                <c:pt idx="12">
                  <c:v>1.5465532053198223</c:v>
                </c:pt>
                <c:pt idx="13">
                  <c:v>1.4796576009641389</c:v>
                </c:pt>
                <c:pt idx="14">
                  <c:v>1.8847974143245647</c:v>
                </c:pt>
                <c:pt idx="15">
                  <c:v>2.2203942970495749</c:v>
                </c:pt>
                <c:pt idx="16">
                  <c:v>2.1205607495416032</c:v>
                </c:pt>
                <c:pt idx="17">
                  <c:v>2.0876586627540736</c:v>
                </c:pt>
                <c:pt idx="18">
                  <c:v>1.9717885964745774</c:v>
                </c:pt>
                <c:pt idx="19">
                  <c:v>1.938644025252019</c:v>
                </c:pt>
                <c:pt idx="20">
                  <c:v>2.0460600292224926</c:v>
                </c:pt>
                <c:pt idx="21">
                  <c:v>2.2052739903555247</c:v>
                </c:pt>
                <c:pt idx="22">
                  <c:v>2.0698913286300562</c:v>
                </c:pt>
                <c:pt idx="23">
                  <c:v>1.942463327846383</c:v>
                </c:pt>
                <c:pt idx="24">
                  <c:v>2.031241144456811</c:v>
                </c:pt>
                <c:pt idx="25">
                  <c:v>1.9410689625232584</c:v>
                </c:pt>
                <c:pt idx="26">
                  <c:v>1.8271279426754525</c:v>
                </c:pt>
                <c:pt idx="27">
                  <c:v>1.8659157968857001</c:v>
                </c:pt>
                <c:pt idx="28">
                  <c:v>1.779599205215223</c:v>
                </c:pt>
                <c:pt idx="29">
                  <c:v>1.7236294911186021</c:v>
                </c:pt>
                <c:pt idx="30">
                  <c:v>1.6387371352353355</c:v>
                </c:pt>
                <c:pt idx="31">
                  <c:v>1.5930557050697383</c:v>
                </c:pt>
                <c:pt idx="32">
                  <c:v>1.9304004277544176</c:v>
                </c:pt>
                <c:pt idx="33">
                  <c:v>1.8152562424380176</c:v>
                </c:pt>
                <c:pt idx="34">
                  <c:v>1.8168624629998182</c:v>
                </c:pt>
                <c:pt idx="35">
                  <c:v>1.8122882475214876</c:v>
                </c:pt>
                <c:pt idx="36">
                  <c:v>1.9130032884360189</c:v>
                </c:pt>
                <c:pt idx="37">
                  <c:v>1.807436152455677</c:v>
                </c:pt>
                <c:pt idx="38">
                  <c:v>2.0998232105444736</c:v>
                </c:pt>
                <c:pt idx="39">
                  <c:v>2.2153170577858567</c:v>
                </c:pt>
                <c:pt idx="40">
                  <c:v>2.0797746269266231</c:v>
                </c:pt>
                <c:pt idx="41">
                  <c:v>2.0117235547167835</c:v>
                </c:pt>
                <c:pt idx="42">
                  <c:v>1.8938440658677238</c:v>
                </c:pt>
                <c:pt idx="43">
                  <c:v>1.7830730216581776</c:v>
                </c:pt>
                <c:pt idx="44">
                  <c:v>1.6918800502700559</c:v>
                </c:pt>
                <c:pt idx="45">
                  <c:v>1.870607749443848</c:v>
                </c:pt>
                <c:pt idx="46">
                  <c:v>1.8311479139147591</c:v>
                </c:pt>
                <c:pt idx="47">
                  <c:v>1.7489635560022823</c:v>
                </c:pt>
                <c:pt idx="48">
                  <c:v>1.7882293802629474</c:v>
                </c:pt>
                <c:pt idx="49">
                  <c:v>1.705241554945051</c:v>
                </c:pt>
                <c:pt idx="50">
                  <c:v>1.9450875647958366</c:v>
                </c:pt>
                <c:pt idx="51">
                  <c:v>1.8474116407134991</c:v>
                </c:pt>
                <c:pt idx="52">
                  <c:v>1.7546435835375318</c:v>
                </c:pt>
                <c:pt idx="53">
                  <c:v>1.7076057035045134</c:v>
                </c:pt>
                <c:pt idx="54">
                  <c:v>1.6732381195242503</c:v>
                </c:pt>
                <c:pt idx="55">
                  <c:v>1.7246420535678986</c:v>
                </c:pt>
                <c:pt idx="56">
                  <c:v>1.7693581929977853</c:v>
                </c:pt>
                <c:pt idx="57">
                  <c:v>1.762238975456601</c:v>
                </c:pt>
                <c:pt idx="58">
                  <c:v>1.6741911097620403</c:v>
                </c:pt>
                <c:pt idx="59">
                  <c:v>1.6016063046894684</c:v>
                </c:pt>
                <c:pt idx="60">
                  <c:v>1.6557209691698844</c:v>
                </c:pt>
                <c:pt idx="61">
                  <c:v>1.6020067400956783</c:v>
                </c:pt>
                <c:pt idx="62">
                  <c:v>1.5234106383155783</c:v>
                </c:pt>
                <c:pt idx="63">
                  <c:v>1.6112571675811964</c:v>
                </c:pt>
                <c:pt idx="64">
                  <c:v>1.7301281008641709</c:v>
                </c:pt>
                <c:pt idx="65">
                  <c:v>1.7362835925191844</c:v>
                </c:pt>
                <c:pt idx="66">
                  <c:v>1.9080440525002078</c:v>
                </c:pt>
                <c:pt idx="67">
                  <c:v>1.7954474146372315</c:v>
                </c:pt>
                <c:pt idx="68">
                  <c:v>1.8228863197755072</c:v>
                </c:pt>
                <c:pt idx="69">
                  <c:v>1.7391065751306514</c:v>
                </c:pt>
                <c:pt idx="70">
                  <c:v>1.6905006617058791</c:v>
                </c:pt>
                <c:pt idx="71">
                  <c:v>1.6207786873067402</c:v>
                </c:pt>
                <c:pt idx="72">
                  <c:v>1.8372836297644659</c:v>
                </c:pt>
                <c:pt idx="73">
                  <c:v>1.7311968238805182</c:v>
                </c:pt>
                <c:pt idx="74">
                  <c:v>1.9301746451389434</c:v>
                </c:pt>
                <c:pt idx="75">
                  <c:v>2.6437812899363524</c:v>
                </c:pt>
                <c:pt idx="76">
                  <c:v>2.5686365384795207</c:v>
                </c:pt>
                <c:pt idx="77">
                  <c:v>2.3962884351542186</c:v>
                </c:pt>
                <c:pt idx="78">
                  <c:v>2.2439519265657588</c:v>
                </c:pt>
                <c:pt idx="79">
                  <c:v>2.1009064239853004</c:v>
                </c:pt>
                <c:pt idx="80">
                  <c:v>2.3255589628331297</c:v>
                </c:pt>
                <c:pt idx="81">
                  <c:v>2.179308254557708</c:v>
                </c:pt>
                <c:pt idx="82">
                  <c:v>2.0550896598565647</c:v>
                </c:pt>
                <c:pt idx="83">
                  <c:v>2.1780314077651539</c:v>
                </c:pt>
                <c:pt idx="84">
                  <c:v>2.0719911260276769</c:v>
                </c:pt>
                <c:pt idx="85">
                  <c:v>2.0058884531362922</c:v>
                </c:pt>
                <c:pt idx="86">
                  <c:v>1.9134169688711136</c:v>
                </c:pt>
                <c:pt idx="87">
                  <c:v>1.8976573134109131</c:v>
                </c:pt>
                <c:pt idx="88">
                  <c:v>1.8019241915496025</c:v>
                </c:pt>
                <c:pt idx="89">
                  <c:v>1.7332362806295241</c:v>
                </c:pt>
                <c:pt idx="90">
                  <c:v>1.6788390998746081</c:v>
                </c:pt>
                <c:pt idx="91">
                  <c:v>1.5906395043343644</c:v>
                </c:pt>
                <c:pt idx="92">
                  <c:v>1.6380944513211362</c:v>
                </c:pt>
                <c:pt idx="93">
                  <c:v>1.6217095001668056</c:v>
                </c:pt>
                <c:pt idx="94">
                  <c:v>1.5502941650408559</c:v>
                </c:pt>
                <c:pt idx="95">
                  <c:v>1.4913477204248502</c:v>
                </c:pt>
                <c:pt idx="96">
                  <c:v>1.707554918208158</c:v>
                </c:pt>
                <c:pt idx="97">
                  <c:v>1.6318364139587489</c:v>
                </c:pt>
                <c:pt idx="98">
                  <c:v>1.5581264653902291</c:v>
                </c:pt>
                <c:pt idx="99">
                  <c:v>1.4804279935304692</c:v>
                </c:pt>
                <c:pt idx="100">
                  <c:v>1.4161946372385361</c:v>
                </c:pt>
                <c:pt idx="101">
                  <c:v>1.6156883460905038</c:v>
                </c:pt>
                <c:pt idx="102">
                  <c:v>1.5568336313382891</c:v>
                </c:pt>
                <c:pt idx="103">
                  <c:v>1.4936642927475061</c:v>
                </c:pt>
                <c:pt idx="104">
                  <c:v>1.507366581835285</c:v>
                </c:pt>
                <c:pt idx="105">
                  <c:v>1.4381639321825208</c:v>
                </c:pt>
                <c:pt idx="106">
                  <c:v>1.3994728682191624</c:v>
                </c:pt>
                <c:pt idx="107">
                  <c:v>1.8031350488645259</c:v>
                </c:pt>
                <c:pt idx="108">
                  <c:v>1.7066653601698845</c:v>
                </c:pt>
                <c:pt idx="109">
                  <c:v>1.6241919788060064</c:v>
                </c:pt>
                <c:pt idx="110">
                  <c:v>1.53977190396106</c:v>
                </c:pt>
                <c:pt idx="111">
                  <c:v>1.85290914975763</c:v>
                </c:pt>
                <c:pt idx="112">
                  <c:v>1.7452602476402124</c:v>
                </c:pt>
                <c:pt idx="113">
                  <c:v>1.6491819452756102</c:v>
                </c:pt>
                <c:pt idx="114">
                  <c:v>2.1672152341000963</c:v>
                </c:pt>
                <c:pt idx="115">
                  <c:v>2.0347520378531581</c:v>
                </c:pt>
                <c:pt idx="116">
                  <c:v>1.9215774884619998</c:v>
                </c:pt>
                <c:pt idx="117">
                  <c:v>1.8072769196118814</c:v>
                </c:pt>
                <c:pt idx="118">
                  <c:v>1.8893627835924374</c:v>
                </c:pt>
                <c:pt idx="119">
                  <c:v>2.9771408299153341</c:v>
                </c:pt>
                <c:pt idx="120">
                  <c:v>2.847010312658615</c:v>
                </c:pt>
                <c:pt idx="121">
                  <c:v>3.0715748920849211</c:v>
                </c:pt>
                <c:pt idx="122">
                  <c:v>2.9513478644807662</c:v>
                </c:pt>
                <c:pt idx="123">
                  <c:v>3.9824711313778911</c:v>
                </c:pt>
                <c:pt idx="124">
                  <c:v>3.9054690952783577</c:v>
                </c:pt>
                <c:pt idx="125">
                  <c:v>3.8453532398651831</c:v>
                </c:pt>
                <c:pt idx="126">
                  <c:v>3.9835600564818407</c:v>
                </c:pt>
                <c:pt idx="127">
                  <c:v>4.2475496093055067</c:v>
                </c:pt>
                <c:pt idx="128">
                  <c:v>3.9521478774037861</c:v>
                </c:pt>
                <c:pt idx="129">
                  <c:v>3.6621415051561463</c:v>
                </c:pt>
                <c:pt idx="130">
                  <c:v>3.4082284552313409</c:v>
                </c:pt>
                <c:pt idx="131">
                  <c:v>3.3287695825644446</c:v>
                </c:pt>
                <c:pt idx="132">
                  <c:v>3.0904102499326012</c:v>
                </c:pt>
                <c:pt idx="133">
                  <c:v>2.9442508855495313</c:v>
                </c:pt>
                <c:pt idx="134">
                  <c:v>2.7582751032823007</c:v>
                </c:pt>
                <c:pt idx="135">
                  <c:v>2.634686123582727</c:v>
                </c:pt>
                <c:pt idx="136">
                  <c:v>2.6699769926311716</c:v>
                </c:pt>
                <c:pt idx="137">
                  <c:v>2.5476521693480056</c:v>
                </c:pt>
                <c:pt idx="138">
                  <c:v>2.3839687492302652</c:v>
                </c:pt>
                <c:pt idx="139">
                  <c:v>2.2934880601661551</c:v>
                </c:pt>
                <c:pt idx="140">
                  <c:v>2.3055892314448188</c:v>
                </c:pt>
                <c:pt idx="141">
                  <c:v>2.1631562738880961</c:v>
                </c:pt>
                <c:pt idx="142">
                  <c:v>2.214457906462576</c:v>
                </c:pt>
                <c:pt idx="143">
                  <c:v>2.3666950869674466</c:v>
                </c:pt>
                <c:pt idx="144">
                  <c:v>2.2164040295088117</c:v>
                </c:pt>
                <c:pt idx="145">
                  <c:v>2.0830455598396624</c:v>
                </c:pt>
                <c:pt idx="146">
                  <c:v>2.0184821984056431</c:v>
                </c:pt>
                <c:pt idx="147">
                  <c:v>2.0814060570273258</c:v>
                </c:pt>
                <c:pt idx="148">
                  <c:v>2.150108481738755</c:v>
                </c:pt>
                <c:pt idx="149">
                  <c:v>2.0558670260664909</c:v>
                </c:pt>
                <c:pt idx="150">
                  <c:v>1.9400531229655871</c:v>
                </c:pt>
                <c:pt idx="151">
                  <c:v>1.8333337033212385</c:v>
                </c:pt>
                <c:pt idx="152">
                  <c:v>1.7443385797785296</c:v>
                </c:pt>
                <c:pt idx="153">
                  <c:v>1.7064026113099728</c:v>
                </c:pt>
                <c:pt idx="154">
                  <c:v>1.6220450218637743</c:v>
                </c:pt>
                <c:pt idx="155">
                  <c:v>1.5513445379871025</c:v>
                </c:pt>
                <c:pt idx="156">
                  <c:v>1.5455671030313518</c:v>
                </c:pt>
                <c:pt idx="157">
                  <c:v>1.9502688263467849</c:v>
                </c:pt>
                <c:pt idx="158">
                  <c:v>1.8736238429668479</c:v>
                </c:pt>
                <c:pt idx="159">
                  <c:v>1.9336338954836163</c:v>
                </c:pt>
                <c:pt idx="160">
                  <c:v>1.8818306867720316</c:v>
                </c:pt>
                <c:pt idx="161">
                  <c:v>1.8877657017165788</c:v>
                </c:pt>
                <c:pt idx="162">
                  <c:v>1.8663685922626394</c:v>
                </c:pt>
                <c:pt idx="163">
                  <c:v>1.9494165910065486</c:v>
                </c:pt>
                <c:pt idx="164">
                  <c:v>1.9143315764910545</c:v>
                </c:pt>
                <c:pt idx="165">
                  <c:v>1.9203967707193548</c:v>
                </c:pt>
                <c:pt idx="166">
                  <c:v>1.8338312965907071</c:v>
                </c:pt>
                <c:pt idx="167">
                  <c:v>1.8221961530094655</c:v>
                </c:pt>
                <c:pt idx="168">
                  <c:v>2.1675089692508873</c:v>
                </c:pt>
                <c:pt idx="169">
                  <c:v>2.0377503189523871</c:v>
                </c:pt>
                <c:pt idx="170">
                  <c:v>1.9661603018006544</c:v>
                </c:pt>
                <c:pt idx="171">
                  <c:v>1.9327806744095968</c:v>
                </c:pt>
                <c:pt idx="172">
                  <c:v>1.8969346505578308</c:v>
                </c:pt>
                <c:pt idx="173">
                  <c:v>1.78535169286884</c:v>
                </c:pt>
                <c:pt idx="174">
                  <c:v>1.7003523500828488</c:v>
                </c:pt>
                <c:pt idx="175">
                  <c:v>1.6190773089921469</c:v>
                </c:pt>
                <c:pt idx="176">
                  <c:v>1.6384171450258269</c:v>
                </c:pt>
                <c:pt idx="177">
                  <c:v>1.5524401546278743</c:v>
                </c:pt>
                <c:pt idx="178">
                  <c:v>1.7504232742230601</c:v>
                </c:pt>
                <c:pt idx="179">
                  <c:v>1.6624794487057317</c:v>
                </c:pt>
                <c:pt idx="180">
                  <c:v>2.3425751046595318</c:v>
                </c:pt>
                <c:pt idx="181">
                  <c:v>2.2561077087602381</c:v>
                </c:pt>
                <c:pt idx="182">
                  <c:v>2.1890300364389379</c:v>
                </c:pt>
                <c:pt idx="183">
                  <c:v>2.1662525251714118</c:v>
                </c:pt>
                <c:pt idx="184">
                  <c:v>2.062128547365353</c:v>
                </c:pt>
                <c:pt idx="185">
                  <c:v>1.9392269458587068</c:v>
                </c:pt>
                <c:pt idx="186">
                  <c:v>1.8883264847955201</c:v>
                </c:pt>
                <c:pt idx="187">
                  <c:v>1.8104470121452017</c:v>
                </c:pt>
                <c:pt idx="188">
                  <c:v>1.7072478447005739</c:v>
                </c:pt>
                <c:pt idx="189">
                  <c:v>1.691914052381865</c:v>
                </c:pt>
                <c:pt idx="190">
                  <c:v>1.916865120891849</c:v>
                </c:pt>
                <c:pt idx="191">
                  <c:v>1.8325044489297602</c:v>
                </c:pt>
                <c:pt idx="192">
                  <c:v>1.8154767327026915</c:v>
                </c:pt>
                <c:pt idx="193">
                  <c:v>1.7188341811713124</c:v>
                </c:pt>
                <c:pt idx="194">
                  <c:v>1.7981538101723316</c:v>
                </c:pt>
                <c:pt idx="195">
                  <c:v>1.7019314899793938</c:v>
                </c:pt>
                <c:pt idx="196">
                  <c:v>1.6325028647193653</c:v>
                </c:pt>
                <c:pt idx="197">
                  <c:v>1.6392375638539829</c:v>
                </c:pt>
                <c:pt idx="198">
                  <c:v>1.5578575199759974</c:v>
                </c:pt>
                <c:pt idx="199">
                  <c:v>1.4810388905725671</c:v>
                </c:pt>
                <c:pt idx="200">
                  <c:v>1.5899448874224258</c:v>
                </c:pt>
                <c:pt idx="201">
                  <c:v>1.5340962764496984</c:v>
                </c:pt>
                <c:pt idx="202">
                  <c:v>1.5114430700143064</c:v>
                </c:pt>
                <c:pt idx="203">
                  <c:v>1.6175014308947266</c:v>
                </c:pt>
                <c:pt idx="204">
                  <c:v>1.7114080614459906</c:v>
                </c:pt>
                <c:pt idx="205">
                  <c:v>1.8741161364959</c:v>
                </c:pt>
                <c:pt idx="206">
                  <c:v>1.8795370259171982</c:v>
                </c:pt>
                <c:pt idx="207">
                  <c:v>1.8113172655425445</c:v>
                </c:pt>
                <c:pt idx="208">
                  <c:v>1.7473213943355337</c:v>
                </c:pt>
                <c:pt idx="209">
                  <c:v>1.6921686381977104</c:v>
                </c:pt>
                <c:pt idx="210">
                  <c:v>3.1363755735398855</c:v>
                </c:pt>
                <c:pt idx="211">
                  <c:v>2.9660035640525222</c:v>
                </c:pt>
                <c:pt idx="212">
                  <c:v>2.8759937874471482</c:v>
                </c:pt>
                <c:pt idx="213">
                  <c:v>2.7726802693603214</c:v>
                </c:pt>
                <c:pt idx="214">
                  <c:v>2.6275360896390834</c:v>
                </c:pt>
                <c:pt idx="215">
                  <c:v>2.4562270666496548</c:v>
                </c:pt>
                <c:pt idx="216">
                  <c:v>2.3473775100696188</c:v>
                </c:pt>
                <c:pt idx="217">
                  <c:v>2.2480959679701229</c:v>
                </c:pt>
                <c:pt idx="218">
                  <c:v>2.1085977599752628</c:v>
                </c:pt>
                <c:pt idx="219">
                  <c:v>1.9986080719591777</c:v>
                </c:pt>
                <c:pt idx="220">
                  <c:v>1.8782466047634201</c:v>
                </c:pt>
                <c:pt idx="221">
                  <c:v>2.3177447657411974</c:v>
                </c:pt>
                <c:pt idx="222">
                  <c:v>2.6312862203896108</c:v>
                </c:pt>
                <c:pt idx="223">
                  <c:v>2.5151206533379717</c:v>
                </c:pt>
                <c:pt idx="224">
                  <c:v>2.5728720126790545</c:v>
                </c:pt>
                <c:pt idx="225">
                  <c:v>2.423021679742714</c:v>
                </c:pt>
                <c:pt idx="226">
                  <c:v>2.3801978891576474</c:v>
                </c:pt>
                <c:pt idx="227">
                  <c:v>2.2242302733827262</c:v>
                </c:pt>
                <c:pt idx="228">
                  <c:v>2.1840645559029825</c:v>
                </c:pt>
                <c:pt idx="229">
                  <c:v>2.105134933728094</c:v>
                </c:pt>
                <c:pt idx="230">
                  <c:v>2.031485042287986</c:v>
                </c:pt>
                <c:pt idx="231">
                  <c:v>1.9665648648076095</c:v>
                </c:pt>
                <c:pt idx="232">
                  <c:v>1.85564277365652</c:v>
                </c:pt>
                <c:pt idx="233">
                  <c:v>1.74834419435805</c:v>
                </c:pt>
                <c:pt idx="234">
                  <c:v>1.6933820309199803</c:v>
                </c:pt>
                <c:pt idx="235">
                  <c:v>2.1185007875125752</c:v>
                </c:pt>
                <c:pt idx="236">
                  <c:v>2.053701095673881</c:v>
                </c:pt>
                <c:pt idx="237">
                  <c:v>2.3718592008563224</c:v>
                </c:pt>
                <c:pt idx="238">
                  <c:v>2.2218610054676504</c:v>
                </c:pt>
                <c:pt idx="239">
                  <c:v>2.1166140527823218</c:v>
                </c:pt>
                <c:pt idx="240">
                  <c:v>2.0639119400197985</c:v>
                </c:pt>
                <c:pt idx="241">
                  <c:v>2.0011918103867492</c:v>
                </c:pt>
                <c:pt idx="242">
                  <c:v>1.8802392733361468</c:v>
                </c:pt>
                <c:pt idx="243">
                  <c:v>1.80185328879567</c:v>
                </c:pt>
                <c:pt idx="244">
                  <c:v>1.7970524142485904</c:v>
                </c:pt>
                <c:pt idx="245">
                  <c:v>1.8777909948283023</c:v>
                </c:pt>
                <c:pt idx="246">
                  <c:v>1.7828494632695204</c:v>
                </c:pt>
                <c:pt idx="247">
                  <c:v>1.7062912654989868</c:v>
                </c:pt>
                <c:pt idx="248">
                  <c:v>1.6648326718016619</c:v>
                </c:pt>
                <c:pt idx="249">
                  <c:v>1.9995254250342858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5-3145-AD8B-C065C5578762}"/>
            </c:ext>
          </c:extLst>
        </c:ser>
        <c:ser>
          <c:idx val="3"/>
          <c:order val="3"/>
          <c:tx>
            <c:v>ES 99%</c:v>
          </c:tx>
          <c:spPr>
            <a:ln w="28575" cap="rnd">
              <a:solidFill>
                <a:srgbClr val="E64A19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MOTIVATION'!$Q$4:$Q$253</c:f>
              <c:numCache>
                <c:formatCode>0.00</c:formatCode>
                <c:ptCount val="250"/>
                <c:pt idx="0">
                  <c:v>2.0644660578948972</c:v>
                </c:pt>
                <c:pt idx="1">
                  <c:v>2.0203514355240935</c:v>
                </c:pt>
                <c:pt idx="2">
                  <c:v>1.9217365766683674</c:v>
                </c:pt>
                <c:pt idx="3">
                  <c:v>1.915282684353945</c:v>
                </c:pt>
                <c:pt idx="4">
                  <c:v>2.272562560397926</c:v>
                </c:pt>
                <c:pt idx="5">
                  <c:v>2.1554044531910246</c:v>
                </c:pt>
                <c:pt idx="6">
                  <c:v>2.0471292418412643</c:v>
                </c:pt>
                <c:pt idx="7">
                  <c:v>2.3335638071207421</c:v>
                </c:pt>
                <c:pt idx="8">
                  <c:v>2.3240653175972454</c:v>
                </c:pt>
                <c:pt idx="9">
                  <c:v>2.2291984804203553</c:v>
                </c:pt>
                <c:pt idx="10">
                  <c:v>2.1570528853260797</c:v>
                </c:pt>
                <c:pt idx="11">
                  <c:v>2.0733565823404492</c:v>
                </c:pt>
                <c:pt idx="12">
                  <c:v>1.9982886518849199</c:v>
                </c:pt>
                <c:pt idx="13">
                  <c:v>1.9118533927647514</c:v>
                </c:pt>
                <c:pt idx="14">
                  <c:v>2.435331206964809</c:v>
                </c:pt>
                <c:pt idx="15">
                  <c:v>2.8689531735745257</c:v>
                </c:pt>
                <c:pt idx="16">
                  <c:v>2.7399590695395863</c:v>
                </c:pt>
                <c:pt idx="17">
                  <c:v>2.6974465543382382</c:v>
                </c:pt>
                <c:pt idx="18">
                  <c:v>2.5477317965510409</c:v>
                </c:pt>
                <c:pt idx="19">
                  <c:v>2.5049059692094375</c:v>
                </c:pt>
                <c:pt idx="20">
                  <c:v>2.6436973027546902</c:v>
                </c:pt>
                <c:pt idx="21">
                  <c:v>2.8494163498973268</c:v>
                </c:pt>
                <c:pt idx="22">
                  <c:v>2.674489528332185</c:v>
                </c:pt>
                <c:pt idx="23">
                  <c:v>2.5098408586178196</c:v>
                </c:pt>
                <c:pt idx="24">
                  <c:v>2.6245499438672035</c:v>
                </c:pt>
                <c:pt idx="25">
                  <c:v>2.5080392106743816</c:v>
                </c:pt>
                <c:pt idx="26">
                  <c:v>2.3608169578848437</c:v>
                </c:pt>
                <c:pt idx="27">
                  <c:v>2.410934424670137</c:v>
                </c:pt>
                <c:pt idx="28">
                  <c:v>2.2994054678834028</c:v>
                </c:pt>
                <c:pt idx="29">
                  <c:v>2.2270874615297891</c:v>
                </c:pt>
                <c:pt idx="30">
                  <c:v>2.1173987480669849</c:v>
                </c:pt>
                <c:pt idx="31">
                  <c:v>2.0583741485978</c:v>
                </c:pt>
                <c:pt idx="32">
                  <c:v>2.4942544848159489</c:v>
                </c:pt>
                <c:pt idx="33">
                  <c:v>2.3454776318393877</c:v>
                </c:pt>
                <c:pt idx="34">
                  <c:v>2.3475530161908797</c:v>
                </c:pt>
                <c:pt idx="35">
                  <c:v>2.3416427100661483</c:v>
                </c:pt>
                <c:pt idx="36">
                  <c:v>2.4717757844675647</c:v>
                </c:pt>
                <c:pt idx="37">
                  <c:v>2.3353733580163616</c:v>
                </c:pt>
                <c:pt idx="38">
                  <c:v>2.7131642662936057</c:v>
                </c:pt>
                <c:pt idx="39">
                  <c:v>2.8623929145619726</c:v>
                </c:pt>
                <c:pt idx="40">
                  <c:v>2.6872596566157054</c:v>
                </c:pt>
                <c:pt idx="41">
                  <c:v>2.5993314270030665</c:v>
                </c:pt>
                <c:pt idx="42">
                  <c:v>2.4470203108728206</c:v>
                </c:pt>
                <c:pt idx="43">
                  <c:v>2.3038939574826029</c:v>
                </c:pt>
                <c:pt idx="44">
                  <c:v>2.186064270647571</c:v>
                </c:pt>
                <c:pt idx="45">
                  <c:v>2.4169968579054615</c:v>
                </c:pt>
                <c:pt idx="46">
                  <c:v>2.3660111295957025</c:v>
                </c:pt>
                <c:pt idx="47">
                  <c:v>2.2598213979951081</c:v>
                </c:pt>
                <c:pt idx="48">
                  <c:v>2.3105564459437291</c:v>
                </c:pt>
                <c:pt idx="49">
                  <c:v>2.2033285607297404</c:v>
                </c:pt>
                <c:pt idx="50">
                  <c:v>2.5132316135546118</c:v>
                </c:pt>
                <c:pt idx="51">
                  <c:v>2.3870253569675683</c:v>
                </c:pt>
                <c:pt idx="52">
                  <c:v>2.2671605147658989</c:v>
                </c:pt>
                <c:pt idx="53">
                  <c:v>2.2063832576011402</c:v>
                </c:pt>
                <c:pt idx="54">
                  <c:v>2.1619771855538095</c:v>
                </c:pt>
                <c:pt idx="55">
                  <c:v>2.2283957851262834</c:v>
                </c:pt>
                <c:pt idx="56">
                  <c:v>2.2861731403905452</c:v>
                </c:pt>
                <c:pt idx="57">
                  <c:v>2.2769744580730453</c:v>
                </c:pt>
                <c:pt idx="58">
                  <c:v>2.1632085363867342</c:v>
                </c:pt>
                <c:pt idx="59">
                  <c:v>2.0694223079033733</c:v>
                </c:pt>
                <c:pt idx="60">
                  <c:v>2.1393434199348293</c:v>
                </c:pt>
                <c:pt idx="61">
                  <c:v>2.0699397071918617</c:v>
                </c:pt>
                <c:pt idx="62">
                  <c:v>1.9683863317701045</c:v>
                </c:pt>
                <c:pt idx="63">
                  <c:v>2.0818921083157353</c:v>
                </c:pt>
                <c:pt idx="64">
                  <c:v>2.2354842616288284</c:v>
                </c:pt>
                <c:pt idx="65">
                  <c:v>2.2434377216706003</c:v>
                </c:pt>
                <c:pt idx="66">
                  <c:v>2.4653679965825681</c:v>
                </c:pt>
                <c:pt idx="67">
                  <c:v>2.3198828086769558</c:v>
                </c:pt>
                <c:pt idx="68">
                  <c:v>2.3553363918898427</c:v>
                </c:pt>
                <c:pt idx="69">
                  <c:v>2.2470852742394731</c:v>
                </c:pt>
                <c:pt idx="70">
                  <c:v>2.1842819740509505</c:v>
                </c:pt>
                <c:pt idx="71">
                  <c:v>2.0941947854889515</c:v>
                </c:pt>
                <c:pt idx="72">
                  <c:v>2.3739390374824048</c:v>
                </c:pt>
                <c:pt idx="73">
                  <c:v>2.2368651498312055</c:v>
                </c:pt>
                <c:pt idx="74">
                  <c:v>2.4939627529591055</c:v>
                </c:pt>
                <c:pt idx="75">
                  <c:v>3.416008018070722</c:v>
                </c:pt>
                <c:pt idx="76">
                  <c:v>3.3189141039600547</c:v>
                </c:pt>
                <c:pt idx="77">
                  <c:v>3.0962245399255477</c:v>
                </c:pt>
                <c:pt idx="78">
                  <c:v>2.8993917925406052</c:v>
                </c:pt>
                <c:pt idx="79">
                  <c:v>2.7145638774540419</c:v>
                </c:pt>
                <c:pt idx="80">
                  <c:v>3.0048355716011033</c:v>
                </c:pt>
                <c:pt idx="81">
                  <c:v>2.8158662366492742</c:v>
                </c:pt>
                <c:pt idx="82">
                  <c:v>2.6553644140863346</c:v>
                </c:pt>
                <c:pt idx="83">
                  <c:v>2.8142164334307491</c:v>
                </c:pt>
                <c:pt idx="84">
                  <c:v>2.6772026592458125</c:v>
                </c:pt>
                <c:pt idx="85">
                  <c:v>2.5917919403363405</c:v>
                </c:pt>
                <c:pt idx="86">
                  <c:v>2.4723102975487268</c:v>
                </c:pt>
                <c:pt idx="87">
                  <c:v>2.4519473765994784</c:v>
                </c:pt>
                <c:pt idx="88">
                  <c:v>2.3282513987521383</c:v>
                </c:pt>
                <c:pt idx="89">
                  <c:v>2.2395003150900084</c:v>
                </c:pt>
                <c:pt idx="90">
                  <c:v>2.1692141661084077</c:v>
                </c:pt>
                <c:pt idx="91">
                  <c:v>2.0552521955388521</c:v>
                </c:pt>
                <c:pt idx="92">
                  <c:v>2.1165683414776244</c:v>
                </c:pt>
                <c:pt idx="93">
                  <c:v>2.0953974811148761</c:v>
                </c:pt>
                <c:pt idx="94">
                  <c:v>2.0031223151122735</c:v>
                </c:pt>
                <c:pt idx="95">
                  <c:v>1.9269580997849589</c:v>
                </c:pt>
                <c:pt idx="96">
                  <c:v>2.2063176383382266</c:v>
                </c:pt>
                <c:pt idx="97">
                  <c:v>2.1084823829724053</c:v>
                </c:pt>
                <c:pt idx="98">
                  <c:v>2.0132423658499201</c:v>
                </c:pt>
                <c:pt idx="99">
                  <c:v>1.912848810651119</c:v>
                </c:pt>
                <c:pt idx="100">
                  <c:v>1.8298534203152872</c:v>
                </c:pt>
                <c:pt idx="101">
                  <c:v>2.0876175975515192</c:v>
                </c:pt>
                <c:pt idx="102">
                  <c:v>2.011571905625289</c:v>
                </c:pt>
                <c:pt idx="103">
                  <c:v>1.9299513237928434</c:v>
                </c:pt>
                <c:pt idx="104">
                  <c:v>1.9476559386064622</c:v>
                </c:pt>
                <c:pt idx="105">
                  <c:v>1.8582397652696458</c:v>
                </c:pt>
                <c:pt idx="106">
                  <c:v>1.8082473603647371</c:v>
                </c:pt>
                <c:pt idx="107">
                  <c:v>2.3298159375104173</c:v>
                </c:pt>
                <c:pt idx="108">
                  <c:v>2.20516824772757</c:v>
                </c:pt>
                <c:pt idx="109">
                  <c:v>2.0986050713071807</c:v>
                </c:pt>
                <c:pt idx="110">
                  <c:v>1.9895265882820552</c:v>
                </c:pt>
                <c:pt idx="111">
                  <c:v>2.3941286431000681</c:v>
                </c:pt>
                <c:pt idx="112">
                  <c:v>2.2550363837783971</c:v>
                </c:pt>
                <c:pt idx="113">
                  <c:v>2.1308944010472897</c:v>
                </c:pt>
                <c:pt idx="114">
                  <c:v>2.8002409445711653</c:v>
                </c:pt>
                <c:pt idx="115">
                  <c:v>2.6290863402923406</c:v>
                </c:pt>
                <c:pt idx="116">
                  <c:v>2.4828544376635704</c:v>
                </c:pt>
                <c:pt idx="117">
                  <c:v>2.3351676145710862</c:v>
                </c:pt>
                <c:pt idx="118">
                  <c:v>2.4412300829739069</c:v>
                </c:pt>
                <c:pt idx="119">
                  <c:v>3.8467391325556051</c:v>
                </c:pt>
                <c:pt idx="120">
                  <c:v>3.6785985635770935</c:v>
                </c:pt>
                <c:pt idx="121">
                  <c:v>3.9687566060804538</c:v>
                </c:pt>
                <c:pt idx="122">
                  <c:v>3.8134122544701547</c:v>
                </c:pt>
                <c:pt idx="123">
                  <c:v>5.1457181304318738</c:v>
                </c:pt>
                <c:pt idx="124">
                  <c:v>5.0462244341397309</c:v>
                </c:pt>
                <c:pt idx="125">
                  <c:v>4.9685492327581793</c:v>
                </c:pt>
                <c:pt idx="126">
                  <c:v>5.1471251215851623</c:v>
                </c:pt>
                <c:pt idx="127">
                  <c:v>5.4882238473251634</c:v>
                </c:pt>
                <c:pt idx="128">
                  <c:v>5.1065377038573168</c:v>
                </c:pt>
                <c:pt idx="129">
                  <c:v>4.7318228601368704</c:v>
                </c:pt>
                <c:pt idx="130">
                  <c:v>4.4037439007548684</c:v>
                </c:pt>
                <c:pt idx="131">
                  <c:v>4.3010757461801337</c:v>
                </c:pt>
                <c:pt idx="132">
                  <c:v>3.9930936167385687</c:v>
                </c:pt>
                <c:pt idx="133">
                  <c:v>3.8042423064773079</c:v>
                </c:pt>
                <c:pt idx="134">
                  <c:v>3.563944530783794</c:v>
                </c:pt>
                <c:pt idx="135">
                  <c:v>3.4042562285759028</c:v>
                </c:pt>
                <c:pt idx="136">
                  <c:v>3.4498552696512994</c:v>
                </c:pt>
                <c:pt idx="137">
                  <c:v>3.2918003735314918</c:v>
                </c:pt>
                <c:pt idx="138">
                  <c:v>3.0803063752662645</c:v>
                </c:pt>
                <c:pt idx="139">
                  <c:v>2.9633970225523703</c:v>
                </c:pt>
                <c:pt idx="140">
                  <c:v>2.9790328462391917</c:v>
                </c:pt>
                <c:pt idx="141">
                  <c:v>2.7949963955299859</c:v>
                </c:pt>
                <c:pt idx="142">
                  <c:v>2.8612828122171847</c:v>
                </c:pt>
                <c:pt idx="143">
                  <c:v>3.0579872186038557</c:v>
                </c:pt>
                <c:pt idx="144">
                  <c:v>2.8637973817677751</c:v>
                </c:pt>
                <c:pt idx="145">
                  <c:v>2.6914860020778075</c:v>
                </c:pt>
                <c:pt idx="146">
                  <c:v>2.6080642148173654</c:v>
                </c:pt>
                <c:pt idx="147">
                  <c:v>2.6893676140046674</c:v>
                </c:pt>
                <c:pt idx="148">
                  <c:v>2.778137450816998</c:v>
                </c:pt>
                <c:pt idx="149">
                  <c:v>2.6563688425601244</c:v>
                </c:pt>
                <c:pt idx="150">
                  <c:v>2.5067266527531618</c:v>
                </c:pt>
                <c:pt idx="151">
                  <c:v>2.3688353700753404</c:v>
                </c:pt>
                <c:pt idx="152">
                  <c:v>2.2538455043295218</c:v>
                </c:pt>
                <c:pt idx="153">
                  <c:v>2.2048287520909176</c:v>
                </c:pt>
                <c:pt idx="154">
                  <c:v>2.0958310059345897</c:v>
                </c:pt>
                <c:pt idx="155">
                  <c:v>2.0044794933402912</c:v>
                </c:pt>
                <c:pt idx="156">
                  <c:v>1.997014517244178</c:v>
                </c:pt>
                <c:pt idx="157">
                  <c:v>2.5199262789072767</c:v>
                </c:pt>
                <c:pt idx="158">
                  <c:v>2.4208939274917536</c:v>
                </c:pt>
                <c:pt idx="159">
                  <c:v>2.4984324218227507</c:v>
                </c:pt>
                <c:pt idx="160">
                  <c:v>2.4314979227421465</c:v>
                </c:pt>
                <c:pt idx="161">
                  <c:v>2.4391665066432111</c:v>
                </c:pt>
                <c:pt idx="162">
                  <c:v>2.4115194778453208</c:v>
                </c:pt>
                <c:pt idx="163">
                  <c:v>2.518825112647189</c:v>
                </c:pt>
                <c:pt idx="164">
                  <c:v>2.473492054517429</c:v>
                </c:pt>
                <c:pt idx="165">
                  <c:v>2.4813288419982609</c:v>
                </c:pt>
                <c:pt idx="166">
                  <c:v>2.3694783062382951</c:v>
                </c:pt>
                <c:pt idx="167">
                  <c:v>2.3544446330989097</c:v>
                </c:pt>
                <c:pt idx="168">
                  <c:v>2.8006204773389141</c:v>
                </c:pt>
                <c:pt idx="169">
                  <c:v>2.6329603945926654</c:v>
                </c:pt>
                <c:pt idx="170">
                  <c:v>2.5404595233840541</c:v>
                </c:pt>
                <c:pt idx="171">
                  <c:v>2.4973299819041643</c:v>
                </c:pt>
                <c:pt idx="172">
                  <c:v>2.4510136298822713</c:v>
                </c:pt>
                <c:pt idx="173">
                  <c:v>2.3068382097760129</c:v>
                </c:pt>
                <c:pt idx="174">
                  <c:v>2.197011259417847</c:v>
                </c:pt>
                <c:pt idx="175">
                  <c:v>2.0919964485892444</c:v>
                </c:pt>
                <c:pt idx="176">
                  <c:v>2.1169852913542275</c:v>
                </c:pt>
                <c:pt idx="177">
                  <c:v>2.0058951305731649</c:v>
                </c:pt>
                <c:pt idx="178">
                  <c:v>2.2617074878790486</c:v>
                </c:pt>
                <c:pt idx="179">
                  <c:v>2.1480759956483739</c:v>
                </c:pt>
                <c:pt idx="180">
                  <c:v>3.0268219882297718</c:v>
                </c:pt>
                <c:pt idx="181">
                  <c:v>2.9150981785417196</c:v>
                </c:pt>
                <c:pt idx="182">
                  <c:v>2.8284276709035483</c:v>
                </c:pt>
                <c:pt idx="183">
                  <c:v>2.7989970362978247</c:v>
                </c:pt>
                <c:pt idx="184">
                  <c:v>2.6644593026309535</c:v>
                </c:pt>
                <c:pt idx="185">
                  <c:v>2.5056591561216544</c:v>
                </c:pt>
                <c:pt idx="186">
                  <c:v>2.4398910898382562</c:v>
                </c:pt>
                <c:pt idx="187">
                  <c:v>2.3392636650095509</c:v>
                </c:pt>
                <c:pt idx="188">
                  <c:v>2.205920871189583</c:v>
                </c:pt>
                <c:pt idx="189">
                  <c:v>2.1861082044960374</c:v>
                </c:pt>
                <c:pt idx="190">
                  <c:v>2.4767656263594708</c:v>
                </c:pt>
                <c:pt idx="191">
                  <c:v>2.367763897309763</c:v>
                </c:pt>
                <c:pt idx="192">
                  <c:v>2.3457625254933747</c:v>
                </c:pt>
                <c:pt idx="193">
                  <c:v>2.2208914810636933</c:v>
                </c:pt>
                <c:pt idx="194">
                  <c:v>2.323379720045216</c:v>
                </c:pt>
                <c:pt idx="195">
                  <c:v>2.1990516530649264</c:v>
                </c:pt>
                <c:pt idx="196">
                  <c:v>2.1093434985081649</c:v>
                </c:pt>
                <c:pt idx="197">
                  <c:v>2.1180453477612482</c:v>
                </c:pt>
                <c:pt idx="198">
                  <c:v>2.0128948636964945</c:v>
                </c:pt>
                <c:pt idx="199">
                  <c:v>1.9136381456849836</c:v>
                </c:pt>
                <c:pt idx="200">
                  <c:v>2.0543546867510782</c:v>
                </c:pt>
                <c:pt idx="201">
                  <c:v>1.9821931567458706</c:v>
                </c:pt>
                <c:pt idx="202">
                  <c:v>1.9529231353893863</c:v>
                </c:pt>
                <c:pt idx="203">
                  <c:v>2.0899602694859349</c:v>
                </c:pt>
                <c:pt idx="204">
                  <c:v>2.2112962529631628</c:v>
                </c:pt>
                <c:pt idx="205">
                  <c:v>2.42153001590379</c:v>
                </c:pt>
                <c:pt idx="206">
                  <c:v>2.4285343024530279</c:v>
                </c:pt>
                <c:pt idx="207">
                  <c:v>2.3403881122527448</c:v>
                </c:pt>
                <c:pt idx="208">
                  <c:v>2.2576995744380937</c:v>
                </c:pt>
                <c:pt idx="209">
                  <c:v>2.1864371527307216</c:v>
                </c:pt>
                <c:pt idx="210">
                  <c:v>4.0524850325842721</c:v>
                </c:pt>
                <c:pt idx="211">
                  <c:v>3.8323487631133331</c:v>
                </c:pt>
                <c:pt idx="212">
                  <c:v>3.716047872506715</c:v>
                </c:pt>
                <c:pt idx="213">
                  <c:v>3.582557327164293</c:v>
                </c:pt>
                <c:pt idx="214">
                  <c:v>3.3950177286387349</c:v>
                </c:pt>
                <c:pt idx="215">
                  <c:v>3.1736707517434417</c:v>
                </c:pt>
                <c:pt idx="216">
                  <c:v>3.0330271366848764</c:v>
                </c:pt>
                <c:pt idx="217">
                  <c:v>2.904746274289308</c:v>
                </c:pt>
                <c:pt idx="218">
                  <c:v>2.7245017893045413</c:v>
                </c:pt>
                <c:pt idx="219">
                  <c:v>2.5823850198129588</c:v>
                </c:pt>
                <c:pt idx="220">
                  <c:v>2.4268669599142285</c:v>
                </c:pt>
                <c:pt idx="221">
                  <c:v>2.994738911933212</c:v>
                </c:pt>
                <c:pt idx="222">
                  <c:v>3.3998632416777212</c:v>
                </c:pt>
                <c:pt idx="223">
                  <c:v>3.2497666697779768</c:v>
                </c:pt>
                <c:pt idx="224">
                  <c:v>3.3243867252699237</c:v>
                </c:pt>
                <c:pt idx="225">
                  <c:v>3.1307663449572125</c:v>
                </c:pt>
                <c:pt idx="226">
                  <c:v>3.0754340780410296</c:v>
                </c:pt>
                <c:pt idx="227">
                  <c:v>2.8739096069833909</c:v>
                </c:pt>
                <c:pt idx="228">
                  <c:v>2.8220118144221651</c:v>
                </c:pt>
                <c:pt idx="229">
                  <c:v>2.7200275000467493</c:v>
                </c:pt>
                <c:pt idx="230">
                  <c:v>2.6248650822449711</c:v>
                </c:pt>
                <c:pt idx="231">
                  <c:v>2.5409822559114512</c:v>
                </c:pt>
                <c:pt idx="232">
                  <c:v>2.3976607360128006</c:v>
                </c:pt>
                <c:pt idx="233">
                  <c:v>2.2590211259185802</c:v>
                </c:pt>
                <c:pt idx="234">
                  <c:v>2.1880049674679394</c:v>
                </c:pt>
                <c:pt idx="235">
                  <c:v>2.7372974095774456</c:v>
                </c:pt>
                <c:pt idx="236">
                  <c:v>2.653570261748655</c:v>
                </c:pt>
                <c:pt idx="237">
                  <c:v>3.0646597276036665</c:v>
                </c:pt>
                <c:pt idx="238">
                  <c:v>2.8708482954347909</c:v>
                </c:pt>
                <c:pt idx="239">
                  <c:v>2.734859575180534</c:v>
                </c:pt>
                <c:pt idx="240">
                  <c:v>2.6667636095833265</c:v>
                </c:pt>
                <c:pt idx="241">
                  <c:v>2.5857234469433643</c:v>
                </c:pt>
                <c:pt idx="242">
                  <c:v>2.4294416705560287</c:v>
                </c:pt>
                <c:pt idx="243">
                  <c:v>2.3281597858880718</c:v>
                </c:pt>
                <c:pt idx="244">
                  <c:v>2.3219566154484435</c:v>
                </c:pt>
                <c:pt idx="245">
                  <c:v>2.4262782700716152</c:v>
                </c:pt>
                <c:pt idx="246">
                  <c:v>2.3036050995309005</c:v>
                </c:pt>
                <c:pt idx="247">
                  <c:v>2.2046848830861121</c:v>
                </c:pt>
                <c:pt idx="248">
                  <c:v>2.1511165758183775</c:v>
                </c:pt>
                <c:pt idx="249">
                  <c:v>2.5835703241616579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5-3145-AD8B-C065C557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59072"/>
        <c:axId val="94860864"/>
      </c:lineChart>
      <c:catAx>
        <c:axId val="9485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0864"/>
        <c:crosses val="autoZero"/>
        <c:auto val="1"/>
        <c:lblAlgn val="ctr"/>
        <c:lblOffset val="100"/>
        <c:noMultiLvlLbl val="0"/>
      </c:catAx>
      <c:valAx>
        <c:axId val="948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90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Returns vs GARCH VaR Bounds | Breach Events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Return (%)</c:v>
          </c:tx>
          <c:spPr>
            <a:ln w="12700" cap="rnd">
              <a:solidFill>
                <a:srgbClr val="607D8B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MOTIVATION'!$C$4:$C$253</c:f>
              <c:numCache>
                <c:formatCode>0.00%</c:formatCode>
                <c:ptCount val="250"/>
                <c:pt idx="0">
                  <c:v>5.8848723437282197E-3</c:v>
                </c:pt>
                <c:pt idx="1">
                  <c:v>-1.2113657639155101E-3</c:v>
                </c:pt>
                <c:pt idx="2">
                  <c:v>6.6707917430471964E-3</c:v>
                </c:pt>
                <c:pt idx="3">
                  <c:v>1.6065486617628962E-2</c:v>
                </c:pt>
                <c:pt idx="4">
                  <c:v>-2.4548761294726756E-3</c:v>
                </c:pt>
                <c:pt idx="5">
                  <c:v>-2.0112502237132545E-3</c:v>
                </c:pt>
                <c:pt idx="6">
                  <c:v>1.5334302622674396E-2</c:v>
                </c:pt>
                <c:pt idx="7">
                  <c:v>8.8748844487809755E-3</c:v>
                </c:pt>
                <c:pt idx="8">
                  <c:v>-4.8215906453202137E-3</c:v>
                </c:pt>
                <c:pt idx="9">
                  <c:v>5.5124296395039872E-3</c:v>
                </c:pt>
                <c:pt idx="10">
                  <c:v>-4.2904899245061814E-3</c:v>
                </c:pt>
                <c:pt idx="11">
                  <c:v>-4.2128306139583025E-3</c:v>
                </c:pt>
                <c:pt idx="12">
                  <c:v>2.5967417712656309E-3</c:v>
                </c:pt>
                <c:pt idx="13">
                  <c:v>-1.9171552133154184E-2</c:v>
                </c:pt>
                <c:pt idx="14">
                  <c:v>-2.0470411829203214E-2</c:v>
                </c:pt>
                <c:pt idx="15">
                  <c:v>-6.4772079169447584E-3</c:v>
                </c:pt>
                <c:pt idx="16">
                  <c:v>-9.7974154406534671E-3</c:v>
                </c:pt>
                <c:pt idx="17">
                  <c:v>3.6193332840726675E-3</c:v>
                </c:pt>
                <c:pt idx="18">
                  <c:v>-8.7524506038356795E-3</c:v>
                </c:pt>
                <c:pt idx="19">
                  <c:v>-1.4251166520256224E-2</c:v>
                </c:pt>
                <c:pt idx="20">
                  <c:v>1.6633480164295882E-2</c:v>
                </c:pt>
                <c:pt idx="21">
                  <c:v>-2.3279526462302333E-3</c:v>
                </c:pt>
                <c:pt idx="22">
                  <c:v>9.3726235716231547E-4</c:v>
                </c:pt>
                <c:pt idx="23">
                  <c:v>-1.3635751621641814E-2</c:v>
                </c:pt>
                <c:pt idx="24">
                  <c:v>-5.5921391318446883E-3</c:v>
                </c:pt>
                <c:pt idx="25">
                  <c:v>1.3854201179323263E-3</c:v>
                </c:pt>
                <c:pt idx="26">
                  <c:v>-1.1016357826425731E-2</c:v>
                </c:pt>
                <c:pt idx="27">
                  <c:v>4.3343886599564773E-3</c:v>
                </c:pt>
                <c:pt idx="28">
                  <c:v>-5.9637653469286865E-3</c:v>
                </c:pt>
                <c:pt idx="29">
                  <c:v>-2.7659885362656092E-3</c:v>
                </c:pt>
                <c:pt idx="30">
                  <c:v>-5.4750569563483563E-3</c:v>
                </c:pt>
                <c:pt idx="31">
                  <c:v>1.8407343631838935E-2</c:v>
                </c:pt>
                <c:pt idx="32">
                  <c:v>8.7750087806441539E-5</c:v>
                </c:pt>
                <c:pt idx="33">
                  <c:v>-9.3562805766086825E-3</c:v>
                </c:pt>
                <c:pt idx="34">
                  <c:v>9.0814585452372431E-3</c:v>
                </c:pt>
                <c:pt idx="35">
                  <c:v>-1.3189794377500771E-2</c:v>
                </c:pt>
                <c:pt idx="36">
                  <c:v>2.5898212119692798E-3</c:v>
                </c:pt>
                <c:pt idx="37">
                  <c:v>-1.8806258881128822E-2</c:v>
                </c:pt>
                <c:pt idx="38">
                  <c:v>-1.5574917471076215E-2</c:v>
                </c:pt>
                <c:pt idx="39">
                  <c:v>2.4878125762513E-3</c:v>
                </c:pt>
                <c:pt idx="40">
                  <c:v>7.5532940637161585E-3</c:v>
                </c:pt>
                <c:pt idx="41">
                  <c:v>2.1145723363076522E-3</c:v>
                </c:pt>
                <c:pt idx="42">
                  <c:v>-8.4768128441018993E-4</c:v>
                </c:pt>
                <c:pt idx="43">
                  <c:v>-2.7581407103905642E-3</c:v>
                </c:pt>
                <c:pt idx="44">
                  <c:v>-1.4851304136611461E-2</c:v>
                </c:pt>
                <c:pt idx="45">
                  <c:v>-7.683127431506823E-3</c:v>
                </c:pt>
                <c:pt idx="46">
                  <c:v>-4.3656826068705946E-3</c:v>
                </c:pt>
                <c:pt idx="47">
                  <c:v>1.0511055683539985E-2</c:v>
                </c:pt>
                <c:pt idx="48">
                  <c:v>3.8205554190330077E-3</c:v>
                </c:pt>
                <c:pt idx="49">
                  <c:v>-1.6681933197953237E-2</c:v>
                </c:pt>
                <c:pt idx="50">
                  <c:v>4.0394348524568028E-3</c:v>
                </c:pt>
                <c:pt idx="51">
                  <c:v>-3.4328481905995306E-3</c:v>
                </c:pt>
                <c:pt idx="52">
                  <c:v>-6.3454123510951772E-3</c:v>
                </c:pt>
                <c:pt idx="53">
                  <c:v>6.7446710168615137E-3</c:v>
                </c:pt>
                <c:pt idx="54">
                  <c:v>1.0476356326837036E-2</c:v>
                </c:pt>
                <c:pt idx="55">
                  <c:v>1.0563192393945127E-2</c:v>
                </c:pt>
                <c:pt idx="56">
                  <c:v>-8.6289840852801277E-3</c:v>
                </c:pt>
                <c:pt idx="57">
                  <c:v>-2.8929542546789915E-3</c:v>
                </c:pt>
                <c:pt idx="58">
                  <c:v>3.5960394652092033E-3</c:v>
                </c:pt>
                <c:pt idx="59">
                  <c:v>1.0092626843755111E-2</c:v>
                </c:pt>
                <c:pt idx="60">
                  <c:v>-5.0517287015175672E-3</c:v>
                </c:pt>
                <c:pt idx="61">
                  <c:v>-1.6564715140296429E-3</c:v>
                </c:pt>
                <c:pt idx="62">
                  <c:v>-1.0795267239449648E-2</c:v>
                </c:pt>
                <c:pt idx="63">
                  <c:v>-1.2444999511498685E-2</c:v>
                </c:pt>
                <c:pt idx="64">
                  <c:v>8.9746060145755296E-3</c:v>
                </c:pt>
                <c:pt idx="65">
                  <c:v>1.4946502341013758E-2</c:v>
                </c:pt>
                <c:pt idx="66">
                  <c:v>-5.8389634955059472E-4</c:v>
                </c:pt>
                <c:pt idx="67">
                  <c:v>1.0343198855054246E-2</c:v>
                </c:pt>
                <c:pt idx="68">
                  <c:v>4.1242304592966844E-3</c:v>
                </c:pt>
                <c:pt idx="69">
                  <c:v>-6.1194363860255256E-3</c:v>
                </c:pt>
                <c:pt idx="70">
                  <c:v>4.0606441288001905E-3</c:v>
                </c:pt>
                <c:pt idx="71">
                  <c:v>1.5445853980873777E-2</c:v>
                </c:pt>
                <c:pt idx="72">
                  <c:v>-1.7442874629951025E-4</c:v>
                </c:pt>
                <c:pt idx="73">
                  <c:v>1.5712590896733079E-2</c:v>
                </c:pt>
                <c:pt idx="74">
                  <c:v>-2.9469996815207466E-2</c:v>
                </c:pt>
                <c:pt idx="75">
                  <c:v>1.1151498195056108E-2</c:v>
                </c:pt>
                <c:pt idx="76">
                  <c:v>1.2211845116262402E-3</c:v>
                </c:pt>
                <c:pt idx="77">
                  <c:v>-2.5101233496032725E-3</c:v>
                </c:pt>
                <c:pt idx="78">
                  <c:v>1.2014854452613818E-3</c:v>
                </c:pt>
                <c:pt idx="79">
                  <c:v>-1.8955832778474114E-2</c:v>
                </c:pt>
                <c:pt idx="80">
                  <c:v>-2.4118481615718499E-3</c:v>
                </c:pt>
                <c:pt idx="81">
                  <c:v>3.7166431063246361E-3</c:v>
                </c:pt>
                <c:pt idx="82">
                  <c:v>1.5530909074699869E-2</c:v>
                </c:pt>
                <c:pt idx="83">
                  <c:v>-5.5963470604531978E-3</c:v>
                </c:pt>
                <c:pt idx="84">
                  <c:v>-7.6156549220539856E-3</c:v>
                </c:pt>
                <c:pt idx="85">
                  <c:v>-5.1642019311587337E-3</c:v>
                </c:pt>
                <c:pt idx="86">
                  <c:v>9.2171641973083675E-3</c:v>
                </c:pt>
                <c:pt idx="87">
                  <c:v>3.7032218796640938E-3</c:v>
                </c:pt>
                <c:pt idx="88">
                  <c:v>-5.2343263201731025E-3</c:v>
                </c:pt>
                <c:pt idx="89">
                  <c:v>5.6819826799638026E-3</c:v>
                </c:pt>
                <c:pt idx="90">
                  <c:v>1.2609322099685217E-3</c:v>
                </c:pt>
                <c:pt idx="91">
                  <c:v>9.7575368809928315E-3</c:v>
                </c:pt>
                <c:pt idx="92">
                  <c:v>-7.2143446011480343E-3</c:v>
                </c:pt>
                <c:pt idx="93">
                  <c:v>-3.0782994864755513E-3</c:v>
                </c:pt>
                <c:pt idx="94">
                  <c:v>-3.5484565478974043E-3</c:v>
                </c:pt>
                <c:pt idx="95">
                  <c:v>-1.4524548662615353E-2</c:v>
                </c:pt>
                <c:pt idx="96">
                  <c:v>3.6557896181593878E-3</c:v>
                </c:pt>
                <c:pt idx="97">
                  <c:v>2.9352530738064706E-3</c:v>
                </c:pt>
                <c:pt idx="98">
                  <c:v>3.1758940288275392E-4</c:v>
                </c:pt>
                <c:pt idx="99">
                  <c:v>-1.8805393851591336E-3</c:v>
                </c:pt>
                <c:pt idx="100">
                  <c:v>-1.3522654709236045E-2</c:v>
                </c:pt>
                <c:pt idx="101">
                  <c:v>-4.2597739168118275E-3</c:v>
                </c:pt>
                <c:pt idx="102">
                  <c:v>-3.1870911806153677E-3</c:v>
                </c:pt>
                <c:pt idx="103">
                  <c:v>-7.6366518517654268E-3</c:v>
                </c:pt>
                <c:pt idx="104">
                  <c:v>-1.4816968508920779E-3</c:v>
                </c:pt>
                <c:pt idx="105">
                  <c:v>4.1368001936994891E-3</c:v>
                </c:pt>
                <c:pt idx="106">
                  <c:v>1.8517186974588037E-2</c:v>
                </c:pt>
                <c:pt idx="107">
                  <c:v>2.2459056846994264E-3</c:v>
                </c:pt>
                <c:pt idx="108">
                  <c:v>2.8498318582551702E-3</c:v>
                </c:pt>
                <c:pt idx="109">
                  <c:v>-4.7360269968887991E-4</c:v>
                </c:pt>
                <c:pt idx="110">
                  <c:v>-1.7414767249476184E-2</c:v>
                </c:pt>
                <c:pt idx="111">
                  <c:v>-4.426966127051383E-5</c:v>
                </c:pt>
                <c:pt idx="112">
                  <c:v>8.5553299020116216E-4</c:v>
                </c:pt>
                <c:pt idx="113">
                  <c:v>2.3033526640812738E-2</c:v>
                </c:pt>
                <c:pt idx="114">
                  <c:v>-2.1828715821635221E-3</c:v>
                </c:pt>
                <c:pt idx="115">
                  <c:v>3.2749219250035968E-3</c:v>
                </c:pt>
                <c:pt idx="116">
                  <c:v>-5.9971813265716448E-5</c:v>
                </c:pt>
                <c:pt idx="117">
                  <c:v>1.2508700586033395E-2</c:v>
                </c:pt>
                <c:pt idx="118">
                  <c:v>-3.6606252165093972E-2</c:v>
                </c:pt>
                <c:pt idx="119">
                  <c:v>1.0214898094171075E-2</c:v>
                </c:pt>
                <c:pt idx="120">
                  <c:v>-2.3835530640385981E-2</c:v>
                </c:pt>
                <c:pt idx="121">
                  <c:v>1.1507447235039049E-2</c:v>
                </c:pt>
                <c:pt idx="122">
                  <c:v>-4.4243130391294481E-2</c:v>
                </c:pt>
                <c:pt idx="123">
                  <c:v>1.9656652549551592E-2</c:v>
                </c:pt>
                <c:pt idx="124">
                  <c:v>-1.9955287583719825E-2</c:v>
                </c:pt>
                <c:pt idx="125">
                  <c:v>2.730571944294622E-2</c:v>
                </c:pt>
                <c:pt idx="126">
                  <c:v>-3.2251292197015106E-2</c:v>
                </c:pt>
                <c:pt idx="127">
                  <c:v>-6.0629526588263389E-3</c:v>
                </c:pt>
                <c:pt idx="128">
                  <c:v>1.2904167546731403E-3</c:v>
                </c:pt>
                <c:pt idx="129">
                  <c:v>-4.5681634958848793E-3</c:v>
                </c:pt>
                <c:pt idx="130">
                  <c:v>-1.5928011929515543E-2</c:v>
                </c:pt>
                <c:pt idx="131">
                  <c:v>1.015892302001534E-3</c:v>
                </c:pt>
                <c:pt idx="132">
                  <c:v>-9.9700023085799415E-3</c:v>
                </c:pt>
                <c:pt idx="133">
                  <c:v>5.1332977773813331E-3</c:v>
                </c:pt>
                <c:pt idx="134">
                  <c:v>-9.0315511850697257E-3</c:v>
                </c:pt>
                <c:pt idx="135">
                  <c:v>1.6084779384150327E-2</c:v>
                </c:pt>
                <c:pt idx="136">
                  <c:v>-8.4447868357665351E-3</c:v>
                </c:pt>
                <c:pt idx="137">
                  <c:v>-3.0163517560566969E-3</c:v>
                </c:pt>
                <c:pt idx="138">
                  <c:v>8.4197785514903232E-3</c:v>
                </c:pt>
                <c:pt idx="139">
                  <c:v>-1.2981594129055977E-2</c:v>
                </c:pt>
                <c:pt idx="140">
                  <c:v>2.7942688732837777E-3</c:v>
                </c:pt>
                <c:pt idx="141">
                  <c:v>1.3702071856800254E-2</c:v>
                </c:pt>
                <c:pt idx="142">
                  <c:v>-1.7515600523816316E-2</c:v>
                </c:pt>
                <c:pt idx="143">
                  <c:v>2.3623423158293739E-3</c:v>
                </c:pt>
                <c:pt idx="144">
                  <c:v>2.9029463961687293E-3</c:v>
                </c:pt>
                <c:pt idx="145">
                  <c:v>7.7931994314828406E-3</c:v>
                </c:pt>
                <c:pt idx="146">
                  <c:v>-1.3201105988443892E-2</c:v>
                </c:pt>
                <c:pt idx="147">
                  <c:v>-1.3822363950257089E-2</c:v>
                </c:pt>
                <c:pt idx="148">
                  <c:v>6.3102846376867569E-3</c:v>
                </c:pt>
                <c:pt idx="149">
                  <c:v>3.1997341907610043E-3</c:v>
                </c:pt>
                <c:pt idx="150">
                  <c:v>2.8365367951750844E-3</c:v>
                </c:pt>
                <c:pt idx="151">
                  <c:v>3.6961856275960067E-3</c:v>
                </c:pt>
                <c:pt idx="152">
                  <c:v>-6.8192522778982778E-3</c:v>
                </c:pt>
                <c:pt idx="153">
                  <c:v>2.5812109836164374E-3</c:v>
                </c:pt>
                <c:pt idx="154">
                  <c:v>3.1661016930860314E-3</c:v>
                </c:pt>
                <c:pt idx="155">
                  <c:v>-7.1162197669271295E-3</c:v>
                </c:pt>
                <c:pt idx="156">
                  <c:v>1.9665399871236153E-2</c:v>
                </c:pt>
                <c:pt idx="157">
                  <c:v>5.9337145637730513E-3</c:v>
                </c:pt>
                <c:pt idx="158">
                  <c:v>-1.2143211157002474E-2</c:v>
                </c:pt>
                <c:pt idx="159">
                  <c:v>7.4404194366253593E-3</c:v>
                </c:pt>
                <c:pt idx="160">
                  <c:v>-1.0005212590329307E-2</c:v>
                </c:pt>
                <c:pt idx="161">
                  <c:v>8.7610172370882478E-3</c:v>
                </c:pt>
                <c:pt idx="162">
                  <c:v>1.2933761188865233E-2</c:v>
                </c:pt>
                <c:pt idx="163">
                  <c:v>-8.4920110384975305E-3</c:v>
                </c:pt>
                <c:pt idx="164">
                  <c:v>1.023044981412048E-2</c:v>
                </c:pt>
                <c:pt idx="165">
                  <c:v>4.8615039558976515E-3</c:v>
                </c:pt>
                <c:pt idx="166">
                  <c:v>8.8634452394520304E-3</c:v>
                </c:pt>
                <c:pt idx="167">
                  <c:v>2.0269635440790891E-2</c:v>
                </c:pt>
                <c:pt idx="168">
                  <c:v>-2.7166877695450325E-3</c:v>
                </c:pt>
                <c:pt idx="169">
                  <c:v>-7.0016110826944802E-3</c:v>
                </c:pt>
                <c:pt idx="170">
                  <c:v>-8.7004675955682457E-3</c:v>
                </c:pt>
                <c:pt idx="171">
                  <c:v>-8.3326488017001123E-3</c:v>
                </c:pt>
                <c:pt idx="172">
                  <c:v>-5.3771891585404285E-4</c:v>
                </c:pt>
                <c:pt idx="173">
                  <c:v>3.5689868357062136E-3</c:v>
                </c:pt>
                <c:pt idx="174">
                  <c:v>2.9188495799730967E-3</c:v>
                </c:pt>
                <c:pt idx="175">
                  <c:v>8.7876670220886927E-3</c:v>
                </c:pt>
                <c:pt idx="176">
                  <c:v>3.9912193704844801E-4</c:v>
                </c:pt>
                <c:pt idx="177">
                  <c:v>1.4444864903524457E-2</c:v>
                </c:pt>
                <c:pt idx="178">
                  <c:v>-2.7342805469443105E-3</c:v>
                </c:pt>
                <c:pt idx="179">
                  <c:v>2.6601048383635115E-2</c:v>
                </c:pt>
                <c:pt idx="180">
                  <c:v>8.3670803066559097E-3</c:v>
                </c:pt>
                <c:pt idx="181">
                  <c:v>-8.9088268120969538E-3</c:v>
                </c:pt>
                <c:pt idx="182">
                  <c:v>-1.0752605375643568E-2</c:v>
                </c:pt>
                <c:pt idx="183">
                  <c:v>5.6532182272813853E-3</c:v>
                </c:pt>
                <c:pt idx="184">
                  <c:v>-2.081790297793948E-3</c:v>
                </c:pt>
                <c:pt idx="185">
                  <c:v>7.5358083382229902E-3</c:v>
                </c:pt>
                <c:pt idx="186">
                  <c:v>5.2921805565481293E-3</c:v>
                </c:pt>
                <c:pt idx="187">
                  <c:v>-4.826249008080478E-4</c:v>
                </c:pt>
                <c:pt idx="188">
                  <c:v>-7.7785413297187063E-3</c:v>
                </c:pt>
                <c:pt idx="189">
                  <c:v>-1.6177610551065667E-2</c:v>
                </c:pt>
                <c:pt idx="190">
                  <c:v>-5.0197813926275339E-3</c:v>
                </c:pt>
                <c:pt idx="191">
                  <c:v>8.5899744800403029E-3</c:v>
                </c:pt>
                <c:pt idx="192">
                  <c:v>2.4329453622777822E-3</c:v>
                </c:pt>
                <c:pt idx="193">
                  <c:v>-1.1820349939107919E-2</c:v>
                </c:pt>
                <c:pt idx="194">
                  <c:v>2.1989614233091119E-3</c:v>
                </c:pt>
                <c:pt idx="195">
                  <c:v>4.2078971355218606E-3</c:v>
                </c:pt>
                <c:pt idx="196">
                  <c:v>-8.3146894543242224E-3</c:v>
                </c:pt>
                <c:pt idx="197">
                  <c:v>1.8926836644069234E-3</c:v>
                </c:pt>
                <c:pt idx="198">
                  <c:v>8.3275718081626284E-4</c:v>
                </c:pt>
                <c:pt idx="199">
                  <c:v>-1.1222078721036192E-2</c:v>
                </c:pt>
                <c:pt idx="200">
                  <c:v>4.2560729739904799E-3</c:v>
                </c:pt>
                <c:pt idx="201">
                  <c:v>6.0625584539794972E-3</c:v>
                </c:pt>
                <c:pt idx="202">
                  <c:v>1.1337198644370486E-2</c:v>
                </c:pt>
                <c:pt idx="203">
                  <c:v>1.1649393177382806E-2</c:v>
                </c:pt>
                <c:pt idx="204">
                  <c:v>-1.4504209553333199E-2</c:v>
                </c:pt>
                <c:pt idx="205">
                  <c:v>-9.9301034976918799E-3</c:v>
                </c:pt>
                <c:pt idx="206">
                  <c:v>5.9467640194596303E-3</c:v>
                </c:pt>
                <c:pt idx="207">
                  <c:v>5.6692165333906775E-3</c:v>
                </c:pt>
                <c:pt idx="208">
                  <c:v>5.7490828885752975E-3</c:v>
                </c:pt>
                <c:pt idx="209">
                  <c:v>4.1351031865498641E-2</c:v>
                </c:pt>
                <c:pt idx="210">
                  <c:v>8.5110735661844388E-3</c:v>
                </c:pt>
                <c:pt idx="211">
                  <c:v>1.2512085499561955E-2</c:v>
                </c:pt>
                <c:pt idx="212">
                  <c:v>1.1155349877315108E-2</c:v>
                </c:pt>
                <c:pt idx="213">
                  <c:v>7.5371722364892275E-3</c:v>
                </c:pt>
                <c:pt idx="214">
                  <c:v>-2.9510595656663517E-3</c:v>
                </c:pt>
                <c:pt idx="215">
                  <c:v>7.7331655324222957E-3</c:v>
                </c:pt>
                <c:pt idx="216">
                  <c:v>-7.5516283254135393E-3</c:v>
                </c:pt>
                <c:pt idx="217">
                  <c:v>-2.3095867274594848E-3</c:v>
                </c:pt>
                <c:pt idx="218">
                  <c:v>-4.5357518632557362E-3</c:v>
                </c:pt>
                <c:pt idx="219">
                  <c:v>1.0728944898763643E-3</c:v>
                </c:pt>
                <c:pt idx="220">
                  <c:v>2.2973813584132235E-2</c:v>
                </c:pt>
                <c:pt idx="221">
                  <c:v>-2.2892930712884726E-2</c:v>
                </c:pt>
                <c:pt idx="222">
                  <c:v>8.5779369339966955E-3</c:v>
                </c:pt>
                <c:pt idx="223">
                  <c:v>-1.6188710353566772E-2</c:v>
                </c:pt>
                <c:pt idx="224">
                  <c:v>-5.2365124520414343E-3</c:v>
                </c:pt>
                <c:pt idx="225">
                  <c:v>1.1341792619253785E-2</c:v>
                </c:pt>
                <c:pt idx="226">
                  <c:v>9.7154536546631095E-4</c:v>
                </c:pt>
                <c:pt idx="227">
                  <c:v>-1.0138829373300696E-2</c:v>
                </c:pt>
                <c:pt idx="228">
                  <c:v>-7.6550932948300258E-3</c:v>
                </c:pt>
                <c:pt idx="229">
                  <c:v>7.3911310328928399E-3</c:v>
                </c:pt>
                <c:pt idx="230">
                  <c:v>-7.3817167207849569E-3</c:v>
                </c:pt>
                <c:pt idx="231">
                  <c:v>2.5879256400356174E-3</c:v>
                </c:pt>
                <c:pt idx="232">
                  <c:v>7.1338060940636988E-4</c:v>
                </c:pt>
                <c:pt idx="233">
                  <c:v>-5.770891327860378E-3</c:v>
                </c:pt>
                <c:pt idx="234">
                  <c:v>2.1259342768911883E-2</c:v>
                </c:pt>
                <c:pt idx="235">
                  <c:v>8.0424823987987754E-3</c:v>
                </c:pt>
                <c:pt idx="236">
                  <c:v>-2.1204253416262798E-2</c:v>
                </c:pt>
                <c:pt idx="237">
                  <c:v>2.5267324531283086E-3</c:v>
                </c:pt>
                <c:pt idx="238">
                  <c:v>-6.0598866695904495E-3</c:v>
                </c:pt>
                <c:pt idx="239">
                  <c:v>8.7269403652824196E-3</c:v>
                </c:pt>
                <c:pt idx="240">
                  <c:v>-7.7621141880172334E-3</c:v>
                </c:pt>
                <c:pt idx="241">
                  <c:v>-9.2020297906603632E-4</c:v>
                </c:pt>
                <c:pt idx="242">
                  <c:v>5.1768437149770901E-3</c:v>
                </c:pt>
                <c:pt idx="243">
                  <c:v>8.9665421781810195E-3</c:v>
                </c:pt>
                <c:pt idx="244">
                  <c:v>-1.2392910283685573E-2</c:v>
                </c:pt>
                <c:pt idx="245">
                  <c:v>-3.5534278142564791E-3</c:v>
                </c:pt>
                <c:pt idx="246">
                  <c:v>-4.3904913500291002E-3</c:v>
                </c:pt>
                <c:pt idx="247">
                  <c:v>-6.3081371950149566E-3</c:v>
                </c:pt>
                <c:pt idx="248">
                  <c:v>1.8866950773888582E-2</c:v>
                </c:pt>
                <c:pt idx="249">
                  <c:v>4.9861947356177119E-3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6-2543-9F0A-5F852D470D5A}"/>
            </c:ext>
          </c:extLst>
        </c:ser>
        <c:ser>
          <c:idx val="1"/>
          <c:order val="1"/>
          <c:tx>
            <c:v>−VaR 95%</c:v>
          </c:tx>
          <c:spPr>
            <a:ln w="25400" cap="rnd">
              <a:solidFill>
                <a:srgbClr val="E53935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MOTIVATION'!$Z$4:$Z$253</c:f>
              <c:numCache>
                <c:formatCode>General</c:formatCode>
                <c:ptCount val="250"/>
                <c:pt idx="0">
                  <c:v>-1.2740981408263827</c:v>
                </c:pt>
                <c:pt idx="1">
                  <c:v>-1.246872525694104</c:v>
                </c:pt>
                <c:pt idx="2">
                  <c:v>-1.1860117487171964</c:v>
                </c:pt>
                <c:pt idx="3">
                  <c:v>-1.1820286887063751</c:v>
                </c:pt>
                <c:pt idx="4">
                  <c:v>-1.4025261989858546</c:v>
                </c:pt>
                <c:pt idx="5">
                  <c:v>-1.3302213403013481</c:v>
                </c:pt>
                <c:pt idx="6">
                  <c:v>-1.2633986163574233</c:v>
                </c:pt>
                <c:pt idx="7">
                  <c:v>-1.4401734999624971</c:v>
                </c:pt>
                <c:pt idx="8">
                  <c:v>-1.4343114477401968</c:v>
                </c:pt>
                <c:pt idx="9">
                  <c:v>-1.3757637857861884</c:v>
                </c:pt>
                <c:pt idx="10">
                  <c:v>-1.3312386805044094</c:v>
                </c:pt>
                <c:pt idx="11">
                  <c:v>-1.2795849835980191</c:v>
                </c:pt>
                <c:pt idx="12">
                  <c:v>-1.2332563407688895</c:v>
                </c:pt>
                <c:pt idx="13">
                  <c:v>-1.1799122799519497</c:v>
                </c:pt>
                <c:pt idx="14">
                  <c:v>-1.502979887329444</c:v>
                </c:pt>
                <c:pt idx="15">
                  <c:v>-1.7705923963199146</c:v>
                </c:pt>
                <c:pt idx="16">
                  <c:v>-1.6909828781590457</c:v>
                </c:pt>
                <c:pt idx="17">
                  <c:v>-1.6647460134875469</c:v>
                </c:pt>
                <c:pt idx="18">
                  <c:v>-1.5723486142561707</c:v>
                </c:pt>
                <c:pt idx="19">
                  <c:v>-1.5459183870375517</c:v>
                </c:pt>
                <c:pt idx="20">
                  <c:v>-1.6315743266721976</c:v>
                </c:pt>
                <c:pt idx="21">
                  <c:v>-1.7585351233850648</c:v>
                </c:pt>
                <c:pt idx="22">
                  <c:v>-1.6505779412921431</c:v>
                </c:pt>
                <c:pt idx="23">
                  <c:v>-1.5489639849035757</c:v>
                </c:pt>
                <c:pt idx="24">
                  <c:v>-1.6197574143684139</c:v>
                </c:pt>
                <c:pt idx="25">
                  <c:v>-1.5478520866060088</c:v>
                </c:pt>
                <c:pt idx="26">
                  <c:v>-1.4569929524245102</c:v>
                </c:pt>
                <c:pt idx="27">
                  <c:v>-1.4879232605348705</c:v>
                </c:pt>
                <c:pt idx="28">
                  <c:v>-1.4190924672424006</c:v>
                </c:pt>
                <c:pt idx="29">
                  <c:v>-1.3744609572734918</c:v>
                </c:pt>
                <c:pt idx="30">
                  <c:v>-1.3067658816590728</c:v>
                </c:pt>
                <c:pt idx="31">
                  <c:v>-1.2703384808989004</c:v>
                </c:pt>
                <c:pt idx="32">
                  <c:v>-1.5393447568192749</c:v>
                </c:pt>
                <c:pt idx="33">
                  <c:v>-1.4475261914083599</c:v>
                </c:pt>
                <c:pt idx="34">
                  <c:v>-1.4488070278423733</c:v>
                </c:pt>
                <c:pt idx="35">
                  <c:v>-1.4451594454486412</c:v>
                </c:pt>
                <c:pt idx="36">
                  <c:v>-1.5254718862954197</c:v>
                </c:pt>
                <c:pt idx="37">
                  <c:v>-1.4412902756164356</c:v>
                </c:pt>
                <c:pt idx="38">
                  <c:v>-1.6744462977347963</c:v>
                </c:pt>
                <c:pt idx="39">
                  <c:v>-1.7665436914360202</c:v>
                </c:pt>
                <c:pt idx="40">
                  <c:v>-1.6584591058392313</c:v>
                </c:pt>
                <c:pt idx="41">
                  <c:v>-1.6041936489443609</c:v>
                </c:pt>
                <c:pt idx="42">
                  <c:v>-1.5101938909213994</c:v>
                </c:pt>
                <c:pt idx="43">
                  <c:v>-1.4218625666739653</c:v>
                </c:pt>
                <c:pt idx="44">
                  <c:v>-1.3491432384212398</c:v>
                </c:pt>
                <c:pt idx="45">
                  <c:v>-1.4916647291264575</c:v>
                </c:pt>
                <c:pt idx="46">
                  <c:v>-1.4601985679853136</c:v>
                </c:pt>
                <c:pt idx="47">
                  <c:v>-1.3946629109132231</c:v>
                </c:pt>
                <c:pt idx="48">
                  <c:v>-1.4259743631014898</c:v>
                </c:pt>
                <c:pt idx="49">
                  <c:v>-1.3597980030332619</c:v>
                </c:pt>
                <c:pt idx="50">
                  <c:v>-1.5510566105219257</c:v>
                </c:pt>
                <c:pt idx="51">
                  <c:v>-1.4731676298514593</c:v>
                </c:pt>
                <c:pt idx="52">
                  <c:v>-1.3991922927343547</c:v>
                </c:pt>
                <c:pt idx="53">
                  <c:v>-1.3616832283145179</c:v>
                </c:pt>
                <c:pt idx="54">
                  <c:v>-1.3342777431913586</c:v>
                </c:pt>
                <c:pt idx="55">
                  <c:v>-1.375268397364608</c:v>
                </c:pt>
                <c:pt idx="56">
                  <c:v>-1.4109260535622228</c:v>
                </c:pt>
                <c:pt idx="57">
                  <c:v>-1.4052490292323918</c:v>
                </c:pt>
                <c:pt idx="58">
                  <c:v>-1.3350376790599745</c:v>
                </c:pt>
                <c:pt idx="59">
                  <c:v>-1.2771569215203646</c:v>
                </c:pt>
                <c:pt idx="60">
                  <c:v>-1.3203091731658247</c:v>
                </c:pt>
                <c:pt idx="61">
                  <c:v>-1.2774762377275781</c:v>
                </c:pt>
                <c:pt idx="62">
                  <c:v>-1.2148019368715786</c:v>
                </c:pt>
                <c:pt idx="63">
                  <c:v>-1.2848527368432221</c:v>
                </c:pt>
                <c:pt idx="64">
                  <c:v>-1.3796430949764413</c:v>
                </c:pt>
                <c:pt idx="65">
                  <c:v>-1.3845516225899648</c:v>
                </c:pt>
                <c:pt idx="66">
                  <c:v>-1.5215172799216008</c:v>
                </c:pt>
                <c:pt idx="67">
                  <c:v>-1.4317301861985252</c:v>
                </c:pt>
                <c:pt idx="68">
                  <c:v>-1.4536105868398574</c:v>
                </c:pt>
                <c:pt idx="69">
                  <c:v>-1.3868027324732175</c:v>
                </c:pt>
                <c:pt idx="70">
                  <c:v>-1.3480432829284035</c:v>
                </c:pt>
                <c:pt idx="71">
                  <c:v>-1.292445411013688</c:v>
                </c:pt>
                <c:pt idx="72">
                  <c:v>-1.4650913259265073</c:v>
                </c:pt>
                <c:pt idx="73">
                  <c:v>-1.3804953187679685</c:v>
                </c:pt>
                <c:pt idx="74">
                  <c:v>-1.5391647126790466</c:v>
                </c:pt>
                <c:pt idx="75">
                  <c:v>-2.1082107154185539</c:v>
                </c:pt>
                <c:pt idx="76">
                  <c:v>-2.0482885990045405</c:v>
                </c:pt>
                <c:pt idx="77">
                  <c:v>-1.91085434164159</c:v>
                </c:pt>
                <c:pt idx="78">
                  <c:v>-1.7893777804078226</c:v>
                </c:pt>
                <c:pt idx="79">
                  <c:v>-1.6753100765170008</c:v>
                </c:pt>
                <c:pt idx="80">
                  <c:v>-1.8544530682038731</c:v>
                </c:pt>
                <c:pt idx="81">
                  <c:v>-1.7378294611386991</c:v>
                </c:pt>
                <c:pt idx="82">
                  <c:v>-1.6387747574080851</c:v>
                </c:pt>
                <c:pt idx="83">
                  <c:v>-1.7368112747628981</c:v>
                </c:pt>
                <c:pt idx="84">
                  <c:v>-1.6522523670060714</c:v>
                </c:pt>
                <c:pt idx="85">
                  <c:v>-1.5995406075886429</c:v>
                </c:pt>
                <c:pt idx="86">
                  <c:v>-1.525801764386828</c:v>
                </c:pt>
                <c:pt idx="87">
                  <c:v>-1.51323466035331</c:v>
                </c:pt>
                <c:pt idx="88">
                  <c:v>-1.4368949139087981</c:v>
                </c:pt>
                <c:pt idx="89">
                  <c:v>-1.3821216274903476</c:v>
                </c:pt>
                <c:pt idx="90">
                  <c:v>-1.3387440910078066</c:v>
                </c:pt>
                <c:pt idx="91">
                  <c:v>-1.2684117480408128</c:v>
                </c:pt>
                <c:pt idx="92">
                  <c:v>-1.3062533910382714</c:v>
                </c:pt>
                <c:pt idx="93">
                  <c:v>-1.2931876621420657</c:v>
                </c:pt>
                <c:pt idx="94">
                  <c:v>-1.2362394662641236</c:v>
                </c:pt>
                <c:pt idx="95">
                  <c:v>-1.1892342443691304</c:v>
                </c:pt>
                <c:pt idx="96">
                  <c:v>-1.3616427309759636</c:v>
                </c:pt>
                <c:pt idx="97">
                  <c:v>-1.3012630911692562</c:v>
                </c:pt>
                <c:pt idx="98">
                  <c:v>-1.2424851188775903</c:v>
                </c:pt>
                <c:pt idx="99">
                  <c:v>-1.1805266083268418</c:v>
                </c:pt>
                <c:pt idx="100">
                  <c:v>-1.12930548404647</c:v>
                </c:pt>
                <c:pt idx="101">
                  <c:v>-1.288386258337914</c:v>
                </c:pt>
                <c:pt idx="102">
                  <c:v>-1.2414541839012618</c:v>
                </c:pt>
                <c:pt idx="103">
                  <c:v>-1.1910815312881564</c:v>
                </c:pt>
                <c:pt idx="104">
                  <c:v>-1.2020080450624155</c:v>
                </c:pt>
                <c:pt idx="105">
                  <c:v>-1.1468242943911089</c:v>
                </c:pt>
                <c:pt idx="106">
                  <c:v>-1.1159711690024876</c:v>
                </c:pt>
                <c:pt idx="107">
                  <c:v>-1.4378604787896305</c:v>
                </c:pt>
                <c:pt idx="108">
                  <c:v>-1.3609333773711805</c:v>
                </c:pt>
                <c:pt idx="109">
                  <c:v>-1.2951672464926633</c:v>
                </c:pt>
                <c:pt idx="110">
                  <c:v>-1.2278487784098377</c:v>
                </c:pt>
                <c:pt idx="111">
                  <c:v>-1.4775514673190535</c:v>
                </c:pt>
                <c:pt idx="112">
                  <c:v>-1.3917098094592057</c:v>
                </c:pt>
                <c:pt idx="113">
                  <c:v>-1.3150948083109246</c:v>
                </c:pt>
                <c:pt idx="114">
                  <c:v>-1.7281862143967845</c:v>
                </c:pt>
                <c:pt idx="115">
                  <c:v>-1.6225570797972622</c:v>
                </c:pt>
                <c:pt idx="116">
                  <c:v>-1.532309146412103</c:v>
                </c:pt>
                <c:pt idx="117">
                  <c:v>-1.4411632997622625</c:v>
                </c:pt>
                <c:pt idx="118">
                  <c:v>-1.5066204155558176</c:v>
                </c:pt>
                <c:pt idx="119">
                  <c:v>-2.3740391169379578</c:v>
                </c:pt>
                <c:pt idx="120">
                  <c:v>-2.2702701130767577</c:v>
                </c:pt>
                <c:pt idx="121">
                  <c:v>-2.4493429639408308</c:v>
                </c:pt>
                <c:pt idx="122">
                  <c:v>-2.3534712256685237</c:v>
                </c:pt>
                <c:pt idx="123">
                  <c:v>-3.1757121305666125</c:v>
                </c:pt>
                <c:pt idx="124">
                  <c:v>-3.1143089735687086</c:v>
                </c:pt>
                <c:pt idx="125">
                  <c:v>-3.0663712371791534</c:v>
                </c:pt>
                <c:pt idx="126">
                  <c:v>-3.1765804639575679</c:v>
                </c:pt>
                <c:pt idx="127">
                  <c:v>-3.3870916761141543</c:v>
                </c:pt>
                <c:pt idx="128">
                  <c:v>-3.1515316852332904</c:v>
                </c:pt>
                <c:pt idx="129">
                  <c:v>-2.9202740755968839</c:v>
                </c:pt>
                <c:pt idx="130">
                  <c:v>-2.7177980936865311</c:v>
                </c:pt>
                <c:pt idx="131">
                  <c:v>-2.6544357999033488</c:v>
                </c:pt>
                <c:pt idx="132">
                  <c:v>-2.4643627022960328</c:v>
                </c:pt>
                <c:pt idx="133">
                  <c:v>-2.3478119349068853</c:v>
                </c:pt>
                <c:pt idx="134">
                  <c:v>-2.1995106595795439</c:v>
                </c:pt>
                <c:pt idx="135">
                  <c:v>-2.1009580250246032</c:v>
                </c:pt>
                <c:pt idx="136">
                  <c:v>-2.1290997584454323</c:v>
                </c:pt>
                <c:pt idx="137">
                  <c:v>-2.0315551906746769</c:v>
                </c:pt>
                <c:pt idx="138">
                  <c:v>-1.9010303467542915</c:v>
                </c:pt>
                <c:pt idx="139">
                  <c:v>-1.8288790084610989</c:v>
                </c:pt>
                <c:pt idx="140">
                  <c:v>-1.838528754851205</c:v>
                </c:pt>
                <c:pt idx="141">
                  <c:v>-1.7249495081514647</c:v>
                </c:pt>
                <c:pt idx="142">
                  <c:v>-1.765858584830265</c:v>
                </c:pt>
                <c:pt idx="143">
                  <c:v>-1.8872559396141788</c:v>
                </c:pt>
                <c:pt idx="144">
                  <c:v>-1.7674104671569975</c:v>
                </c:pt>
                <c:pt idx="145">
                  <c:v>-1.6610674213768792</c:v>
                </c:pt>
                <c:pt idx="146">
                  <c:v>-1.6095831435673797</c:v>
                </c:pt>
                <c:pt idx="147">
                  <c:v>-1.6597600449270633</c:v>
                </c:pt>
                <c:pt idx="148">
                  <c:v>-1.7145449049694605</c:v>
                </c:pt>
                <c:pt idx="149">
                  <c:v>-1.6393946467233658</c:v>
                </c:pt>
                <c:pt idx="150">
                  <c:v>-1.5470420332749029</c:v>
                </c:pt>
                <c:pt idx="151">
                  <c:v>-1.4619415656628933</c:v>
                </c:pt>
                <c:pt idx="152">
                  <c:v>-1.3909748507584039</c:v>
                </c:pt>
                <c:pt idx="153">
                  <c:v>-1.3607238555154815</c:v>
                </c:pt>
                <c:pt idx="154">
                  <c:v>-1.2934552146962417</c:v>
                </c:pt>
                <c:pt idx="155">
                  <c:v>-1.2370770572966692</c:v>
                </c:pt>
                <c:pt idx="156">
                  <c:v>-1.2324700006056672</c:v>
                </c:pt>
                <c:pt idx="157">
                  <c:v>-1.5551882651193294</c:v>
                </c:pt>
                <c:pt idx="158">
                  <c:v>-1.4940698299977351</c:v>
                </c:pt>
                <c:pt idx="159">
                  <c:v>-1.5419231967759404</c:v>
                </c:pt>
                <c:pt idx="160">
                  <c:v>-1.5006141519943066</c:v>
                </c:pt>
                <c:pt idx="161">
                  <c:v>-1.5053468665156975</c:v>
                </c:pt>
                <c:pt idx="162">
                  <c:v>-1.4882843297614319</c:v>
                </c:pt>
                <c:pt idx="163">
                  <c:v>-1.5545086734741418</c:v>
                </c:pt>
                <c:pt idx="164">
                  <c:v>-1.5265310930919302</c:v>
                </c:pt>
                <c:pt idx="165">
                  <c:v>-1.5313676155046847</c:v>
                </c:pt>
                <c:pt idx="166">
                  <c:v>-1.4623383577374145</c:v>
                </c:pt>
                <c:pt idx="167">
                  <c:v>-1.4530602323240986</c:v>
                </c:pt>
                <c:pt idx="168">
                  <c:v>-1.7284204454183709</c:v>
                </c:pt>
                <c:pt idx="169">
                  <c:v>-1.6249479766408448</c:v>
                </c:pt>
                <c:pt idx="170">
                  <c:v>-1.5678604853832321</c:v>
                </c:pt>
                <c:pt idx="171">
                  <c:v>-1.5412428190844436</c:v>
                </c:pt>
                <c:pt idx="172">
                  <c:v>-1.5126583927262176</c:v>
                </c:pt>
                <c:pt idx="173">
                  <c:v>-1.4236796303930863</c:v>
                </c:pt>
                <c:pt idx="174">
                  <c:v>-1.3558992410140256</c:v>
                </c:pt>
                <c:pt idx="175">
                  <c:v>-1.2910886936454775</c:v>
                </c:pt>
                <c:pt idx="176">
                  <c:v>-1.3065107142626307</c:v>
                </c:pt>
                <c:pt idx="177">
                  <c:v>-1.2379507266697216</c:v>
                </c:pt>
                <c:pt idx="178">
                  <c:v>-1.3958269230825542</c:v>
                </c:pt>
                <c:pt idx="179">
                  <c:v>-1.3256985368895364</c:v>
                </c:pt>
                <c:pt idx="180">
                  <c:v>-1.8680221227508802</c:v>
                </c:pt>
                <c:pt idx="181">
                  <c:v>-1.7990710747715606</c:v>
                </c:pt>
                <c:pt idx="182">
                  <c:v>-1.7455818288602603</c:v>
                </c:pt>
                <c:pt idx="183">
                  <c:v>-1.7274185286252695</c:v>
                </c:pt>
                <c:pt idx="184">
                  <c:v>-1.6443877247617542</c:v>
                </c:pt>
                <c:pt idx="185">
                  <c:v>-1.5463832210515964</c:v>
                </c:pt>
                <c:pt idx="186">
                  <c:v>-1.5057940475667739</c:v>
                </c:pt>
                <c:pt idx="187">
                  <c:v>-1.4436912029110798</c:v>
                </c:pt>
                <c:pt idx="188">
                  <c:v>-1.3613978636484074</c:v>
                </c:pt>
                <c:pt idx="189">
                  <c:v>-1.3491703524706264</c:v>
                </c:pt>
                <c:pt idx="190">
                  <c:v>-1.5285513984303771</c:v>
                </c:pt>
                <c:pt idx="191">
                  <c:v>-1.461280299543575</c:v>
                </c:pt>
                <c:pt idx="192">
                  <c:v>-1.4477020153089224</c:v>
                </c:pt>
                <c:pt idx="193">
                  <c:v>-1.3706370691730989</c:v>
                </c:pt>
                <c:pt idx="194">
                  <c:v>-1.433888326922562</c:v>
                </c:pt>
                <c:pt idx="195">
                  <c:v>-1.3571584827159446</c:v>
                </c:pt>
                <c:pt idx="196">
                  <c:v>-1.3017945340084118</c:v>
                </c:pt>
                <c:pt idx="197">
                  <c:v>-1.3071649347048562</c:v>
                </c:pt>
                <c:pt idx="198">
                  <c:v>-1.2422706557499843</c:v>
                </c:pt>
                <c:pt idx="199">
                  <c:v>-1.181013751380267</c:v>
                </c:pt>
                <c:pt idx="200">
                  <c:v>-1.2678578448785376</c:v>
                </c:pt>
                <c:pt idx="201">
                  <c:v>-1.2233229052668042</c:v>
                </c:pt>
                <c:pt idx="202">
                  <c:v>-1.2052587285032144</c:v>
                </c:pt>
                <c:pt idx="203">
                  <c:v>-1.2898320529756078</c:v>
                </c:pt>
                <c:pt idx="204">
                  <c:v>-1.3647153141328845</c:v>
                </c:pt>
                <c:pt idx="205">
                  <c:v>-1.4944623959399441</c:v>
                </c:pt>
                <c:pt idx="206">
                  <c:v>-1.4987851351954877</c:v>
                </c:pt>
                <c:pt idx="207">
                  <c:v>-1.4443851625606132</c:v>
                </c:pt>
                <c:pt idx="208">
                  <c:v>-1.393353414233045</c:v>
                </c:pt>
                <c:pt idx="209">
                  <c:v>-1.3493733649312267</c:v>
                </c:pt>
                <c:pt idx="210">
                  <c:v>-2.5010164860774027</c:v>
                </c:pt>
                <c:pt idx="211">
                  <c:v>-2.3651580104251684</c:v>
                </c:pt>
                <c:pt idx="212">
                  <c:v>-2.2933821883274002</c:v>
                </c:pt>
                <c:pt idx="213">
                  <c:v>-2.2109976632884623</c:v>
                </c:pt>
                <c:pt idx="214">
                  <c:v>-2.0952564270017358</c:v>
                </c:pt>
                <c:pt idx="215">
                  <c:v>-1.9586507556896087</c:v>
                </c:pt>
                <c:pt idx="216">
                  <c:v>-1.8718516689330353</c:v>
                </c:pt>
                <c:pt idx="217">
                  <c:v>-1.7926823323112175</c:v>
                </c:pt>
                <c:pt idx="218">
                  <c:v>-1.681443320976989</c:v>
                </c:pt>
                <c:pt idx="219">
                  <c:v>-1.5937350677475259</c:v>
                </c:pt>
                <c:pt idx="220">
                  <c:v>-1.4977561243184712</c:v>
                </c:pt>
                <c:pt idx="221">
                  <c:v>-1.8482218515354167</c:v>
                </c:pt>
                <c:pt idx="222">
                  <c:v>-2.0982468656823396</c:v>
                </c:pt>
                <c:pt idx="223">
                  <c:v>-2.0056138274831645</c:v>
                </c:pt>
                <c:pt idx="224">
                  <c:v>-2.0516660614770701</c:v>
                </c:pt>
                <c:pt idx="225">
                  <c:v>-1.9321720326752259</c:v>
                </c:pt>
                <c:pt idx="226">
                  <c:v>-1.8980233780456099</c:v>
                </c:pt>
                <c:pt idx="227">
                  <c:v>-1.7736512902005941</c:v>
                </c:pt>
                <c:pt idx="228">
                  <c:v>-1.7416222429017123</c:v>
                </c:pt>
                <c:pt idx="229">
                  <c:v>-1.6786819853749473</c:v>
                </c:pt>
                <c:pt idx="230">
                  <c:v>-1.6199519039894379</c:v>
                </c:pt>
                <c:pt idx="231">
                  <c:v>-1.5681830930321976</c:v>
                </c:pt>
                <c:pt idx="232">
                  <c:v>-1.4797313205533211</c:v>
                </c:pt>
                <c:pt idx="233">
                  <c:v>-1.3941690179955073</c:v>
                </c:pt>
                <c:pt idx="234">
                  <c:v>-1.3503409516029525</c:v>
                </c:pt>
                <c:pt idx="235">
                  <c:v>-1.6893402180647774</c:v>
                </c:pt>
                <c:pt idx="236">
                  <c:v>-1.6376674850704969</c:v>
                </c:pt>
                <c:pt idx="237">
                  <c:v>-1.8913739202798308</c:v>
                </c:pt>
                <c:pt idx="238">
                  <c:v>-1.7717619826299289</c:v>
                </c:pt>
                <c:pt idx="239">
                  <c:v>-1.6878356933181147</c:v>
                </c:pt>
                <c:pt idx="240">
                  <c:v>-1.6458098422108081</c:v>
                </c:pt>
                <c:pt idx="241">
                  <c:v>-1.595795398932855</c:v>
                </c:pt>
                <c:pt idx="242">
                  <c:v>-1.4993451230958252</c:v>
                </c:pt>
                <c:pt idx="243">
                  <c:v>-1.4368383744567028</c:v>
                </c:pt>
                <c:pt idx="244">
                  <c:v>-1.4330100490191713</c:v>
                </c:pt>
                <c:pt idx="245">
                  <c:v>-1.4973928106998586</c:v>
                </c:pt>
                <c:pt idx="246">
                  <c:v>-1.4216842961822711</c:v>
                </c:pt>
                <c:pt idx="247">
                  <c:v>-1.3606350658592676</c:v>
                </c:pt>
                <c:pt idx="248">
                  <c:v>-1.3275750499602261</c:v>
                </c:pt>
                <c:pt idx="249">
                  <c:v>-1.5944665857403821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6-2543-9F0A-5F852D470D5A}"/>
            </c:ext>
          </c:extLst>
        </c:ser>
        <c:ser>
          <c:idx val="2"/>
          <c:order val="2"/>
          <c:tx>
            <c:v>−VaR 99%</c:v>
          </c:tx>
          <c:spPr>
            <a:ln w="25400" cap="rnd">
              <a:solidFill>
                <a:srgbClr val="B71C1C"/>
              </a:solidFill>
              <a:prstDash val="solid"/>
              <a:round/>
            </a:ln>
          </c:spPr>
          <c:marker>
            <c:symbol val="none"/>
          </c:marker>
          <c:val>
            <c:numRef>
              <c:f>'6.GARCH MOTIVATION'!$AA$4:$AA$253</c:f>
              <c:numCache>
                <c:formatCode>General</c:formatCode>
                <c:ptCount val="250"/>
                <c:pt idx="0">
                  <c:v>-1.8019813147290404</c:v>
                </c:pt>
                <c:pt idx="1">
                  <c:v>-1.763475607689432</c:v>
                </c:pt>
                <c:pt idx="2">
                  <c:v>-1.6773990493788244</c:v>
                </c:pt>
                <c:pt idx="3">
                  <c:v>-1.6717657315950867</c:v>
                </c:pt>
                <c:pt idx="4">
                  <c:v>-1.9836195682313964</c:v>
                </c:pt>
                <c:pt idx="5">
                  <c:v>-1.8813574267694386</c:v>
                </c:pt>
                <c:pt idx="6">
                  <c:v>-1.7868487730890017</c:v>
                </c:pt>
                <c:pt idx="7">
                  <c:v>-2.0368648644421645</c:v>
                </c:pt>
                <c:pt idx="8">
                  <c:v>-2.0285740521161224</c:v>
                </c:pt>
                <c:pt idx="9">
                  <c:v>-1.9457689765245618</c:v>
                </c:pt>
                <c:pt idx="10">
                  <c:v>-1.8827962704329655</c:v>
                </c:pt>
                <c:pt idx="11">
                  <c:v>-1.8097414611687266</c:v>
                </c:pt>
                <c:pt idx="12">
                  <c:v>-1.7442179775062361</c:v>
                </c:pt>
                <c:pt idx="13">
                  <c:v>-1.6687724543053717</c:v>
                </c:pt>
                <c:pt idx="14">
                  <c:v>-2.1256931366563179</c:v>
                </c:pt>
                <c:pt idx="15">
                  <c:v>-2.5041826150851993</c:v>
                </c:pt>
                <c:pt idx="16">
                  <c:v>-2.3915893543278903</c:v>
                </c:pt>
                <c:pt idx="17">
                  <c:v>-2.3544820559337096</c:v>
                </c:pt>
                <c:pt idx="18">
                  <c:v>-2.2238026509417925</c:v>
                </c:pt>
                <c:pt idx="19">
                  <c:v>-2.1864218762071999</c:v>
                </c:pt>
                <c:pt idx="20">
                  <c:v>-2.3075667062413121</c:v>
                </c:pt>
                <c:pt idx="21">
                  <c:v>-2.4871297838793591</c:v>
                </c:pt>
                <c:pt idx="22">
                  <c:v>-2.3344438810523851</c:v>
                </c:pt>
                <c:pt idx="23">
                  <c:v>-2.1907293233895606</c:v>
                </c:pt>
                <c:pt idx="24">
                  <c:v>-2.2908538216628926</c:v>
                </c:pt>
                <c:pt idx="25">
                  <c:v>-2.1891567444084825</c:v>
                </c:pt>
                <c:pt idx="26">
                  <c:v>-2.0606529370319753</c:v>
                </c:pt>
                <c:pt idx="27">
                  <c:v>-2.1043982620487207</c:v>
                </c:pt>
                <c:pt idx="28">
                  <c:v>-2.0070495575677927</c:v>
                </c:pt>
                <c:pt idx="29">
                  <c:v>-1.9439263612966227</c:v>
                </c:pt>
                <c:pt idx="30">
                  <c:v>-1.8481839240011466</c:v>
                </c:pt>
                <c:pt idx="31">
                  <c:v>-1.7966639559464082</c:v>
                </c:pt>
                <c:pt idx="32">
                  <c:v>-2.1771246655421015</c:v>
                </c:pt>
                <c:pt idx="33">
                  <c:v>-2.0472639162685957</c:v>
                </c:pt>
                <c:pt idx="34">
                  <c:v>-2.0490754276799685</c:v>
                </c:pt>
                <c:pt idx="35">
                  <c:v>-2.0439165822921428</c:v>
                </c:pt>
                <c:pt idx="36">
                  <c:v>-2.1575040000183074</c:v>
                </c:pt>
                <c:pt idx="37">
                  <c:v>-2.0384443415614362</c:v>
                </c:pt>
                <c:pt idx="38">
                  <c:v>-2.3682013530592561</c:v>
                </c:pt>
                <c:pt idx="39">
                  <c:v>-2.4984564545047454</c:v>
                </c:pt>
                <c:pt idx="40">
                  <c:v>-2.3455903624709564</c:v>
                </c:pt>
                <c:pt idx="41">
                  <c:v>-2.2688416912136802</c:v>
                </c:pt>
                <c:pt idx="42">
                  <c:v>-2.1358960396043281</c:v>
                </c:pt>
                <c:pt idx="43">
                  <c:v>-2.0109673620568436</c:v>
                </c:pt>
                <c:pt idx="44">
                  <c:v>-1.9081190283750549</c:v>
                </c:pt>
                <c:pt idx="45">
                  <c:v>-2.1096898924778436</c:v>
                </c:pt>
                <c:pt idx="46">
                  <c:v>-2.0651867002937485</c:v>
                </c:pt>
                <c:pt idx="47">
                  <c:v>-1.9724983698517933</c:v>
                </c:pt>
                <c:pt idx="48">
                  <c:v>-2.0167827542114569</c:v>
                </c:pt>
                <c:pt idx="49">
                  <c:v>-1.9231882652952554</c:v>
                </c:pt>
                <c:pt idx="50">
                  <c:v>-2.1936889637360606</c:v>
                </c:pt>
                <c:pt idx="51">
                  <c:v>-2.0835290919851781</c:v>
                </c:pt>
                <c:pt idx="52">
                  <c:v>-1.978904360997545</c:v>
                </c:pt>
                <c:pt idx="53">
                  <c:v>-1.9258545753870941</c:v>
                </c:pt>
                <c:pt idx="54">
                  <c:v>-1.8870944747868474</c:v>
                </c:pt>
                <c:pt idx="55">
                  <c:v>-1.945068339226212</c:v>
                </c:pt>
                <c:pt idx="56">
                  <c:v>-1.9954996428567615</c:v>
                </c:pt>
                <c:pt idx="57">
                  <c:v>-1.9874705190100048</c:v>
                </c:pt>
                <c:pt idx="58">
                  <c:v>-1.888169266588011</c:v>
                </c:pt>
                <c:pt idx="59">
                  <c:v>-1.8063074066365556</c:v>
                </c:pt>
                <c:pt idx="60">
                  <c:v>-1.8673384596315548</c:v>
                </c:pt>
                <c:pt idx="61">
                  <c:v>-1.8067590216420653</c:v>
                </c:pt>
                <c:pt idx="62">
                  <c:v>-1.7181175619010081</c:v>
                </c:pt>
                <c:pt idx="63">
                  <c:v>-1.8171917451101995</c:v>
                </c:pt>
                <c:pt idx="64">
                  <c:v>-1.9512555575428483</c:v>
                </c:pt>
                <c:pt idx="65">
                  <c:v>-1.9581977818181808</c:v>
                </c:pt>
                <c:pt idx="66">
                  <c:v>-2.151910924756375</c:v>
                </c:pt>
                <c:pt idx="67">
                  <c:v>-2.0249233246584208</c:v>
                </c:pt>
                <c:pt idx="68">
                  <c:v>-2.0558691928384758</c:v>
                </c:pt>
                <c:pt idx="69">
                  <c:v>-1.9613815694849552</c:v>
                </c:pt>
                <c:pt idx="70">
                  <c:v>-1.9065633403306166</c:v>
                </c:pt>
                <c:pt idx="71">
                  <c:v>-1.8279302090837293</c:v>
                </c:pt>
                <c:pt idx="72">
                  <c:v>-2.0721066212205659</c:v>
                </c:pt>
                <c:pt idx="73">
                  <c:v>-1.9524608739145553</c:v>
                </c:pt>
                <c:pt idx="74">
                  <c:v>-2.1768700256787175</c:v>
                </c:pt>
                <c:pt idx="75">
                  <c:v>-2.9816826467007993</c:v>
                </c:pt>
                <c:pt idx="76">
                  <c:v>-2.8969336539371526</c:v>
                </c:pt>
                <c:pt idx="77">
                  <c:v>-2.7025577610321765</c:v>
                </c:pt>
                <c:pt idx="78">
                  <c:v>-2.5307511422902249</c:v>
                </c:pt>
                <c:pt idx="79">
                  <c:v>-2.3694230118747872</c:v>
                </c:pt>
                <c:pt idx="80">
                  <c:v>-2.6227883636796543</c:v>
                </c:pt>
                <c:pt idx="81">
                  <c:v>-2.4578453706293391</c:v>
                </c:pt>
                <c:pt idx="82">
                  <c:v>-2.3177504128399691</c:v>
                </c:pt>
                <c:pt idx="83">
                  <c:v>-2.4564053302075588</c:v>
                </c:pt>
                <c:pt idx="84">
                  <c:v>-2.3368120532933738</c:v>
                </c:pt>
                <c:pt idx="85">
                  <c:v>-2.2622608060283156</c:v>
                </c:pt>
                <c:pt idx="86">
                  <c:v>-2.1579705528981905</c:v>
                </c:pt>
                <c:pt idx="87">
                  <c:v>-2.1401966578401792</c:v>
                </c:pt>
                <c:pt idx="88">
                  <c:v>-2.0322278976197623</c:v>
                </c:pt>
                <c:pt idx="89">
                  <c:v>-1.9547609933761594</c:v>
                </c:pt>
                <c:pt idx="90">
                  <c:v>-1.8934113157368702</c:v>
                </c:pt>
                <c:pt idx="91">
                  <c:v>-1.79393894089655</c:v>
                </c:pt>
                <c:pt idx="92">
                  <c:v>-1.8474590987360702</c:v>
                </c:pt>
                <c:pt idx="93">
                  <c:v>-1.8289799890192888</c:v>
                </c:pt>
                <c:pt idx="94">
                  <c:v>-1.748437068822402</c:v>
                </c:pt>
                <c:pt idx="95">
                  <c:v>-1.6819566864756135</c:v>
                </c:pt>
                <c:pt idx="96">
                  <c:v>-1.9257972992283485</c:v>
                </c:pt>
                <c:pt idx="97">
                  <c:v>-1.8404012223993009</c:v>
                </c:pt>
                <c:pt idx="98">
                  <c:v>-1.7572704145020808</c:v>
                </c:pt>
                <c:pt idx="99">
                  <c:v>-1.6696413106494719</c:v>
                </c:pt>
                <c:pt idx="100">
                  <c:v>-1.5971982971051795</c:v>
                </c:pt>
                <c:pt idx="101">
                  <c:v>-1.8221892719918402</c:v>
                </c:pt>
                <c:pt idx="102">
                  <c:v>-1.7558123434912876</c:v>
                </c:pt>
                <c:pt idx="103">
                  <c:v>-1.6845693396177563</c:v>
                </c:pt>
                <c:pt idx="104">
                  <c:v>-1.7000229165640142</c:v>
                </c:pt>
                <c:pt idx="105">
                  <c:v>-1.6219754848945325</c:v>
                </c:pt>
                <c:pt idx="106">
                  <c:v>-1.5783393208740533</c:v>
                </c:pt>
                <c:pt idx="107">
                  <c:v>-2.0335935144570101</c:v>
                </c:pt>
                <c:pt idx="108">
                  <c:v>-1.9247940468882063</c:v>
                </c:pt>
                <c:pt idx="109">
                  <c:v>-1.8317797529435915</c:v>
                </c:pt>
                <c:pt idx="110">
                  <c:v>-1.73656995886701</c:v>
                </c:pt>
                <c:pt idx="111">
                  <c:v>-2.0897292369742368</c:v>
                </c:pt>
                <c:pt idx="112">
                  <c:v>-1.9683217421100818</c:v>
                </c:pt>
                <c:pt idx="113">
                  <c:v>-1.8599636839093208</c:v>
                </c:pt>
                <c:pt idx="114">
                  <c:v>-2.4442067427360588</c:v>
                </c:pt>
                <c:pt idx="115">
                  <c:v>-2.2948134419061224</c:v>
                </c:pt>
                <c:pt idx="116">
                  <c:v>-2.1671740674796838</c:v>
                </c:pt>
                <c:pt idx="117">
                  <c:v>-2.0382647571877448</c:v>
                </c:pt>
                <c:pt idx="118">
                  <c:v>-2.1308420052006309</c:v>
                </c:pt>
                <c:pt idx="119">
                  <c:v>-3.3576488278864676</c:v>
                </c:pt>
                <c:pt idx="120">
                  <c:v>-3.2108863454574088</c:v>
                </c:pt>
                <c:pt idx="121">
                  <c:v>-3.4641524957580638</c:v>
                </c:pt>
                <c:pt idx="122">
                  <c:v>-3.3285592667582642</c:v>
                </c:pt>
                <c:pt idx="123">
                  <c:v>-4.4914702697295459</c:v>
                </c:pt>
                <c:pt idx="124">
                  <c:v>-4.4046266130047744</c:v>
                </c:pt>
                <c:pt idx="125">
                  <c:v>-4.336827357612755</c:v>
                </c:pt>
                <c:pt idx="126">
                  <c:v>-4.4926983702151508</c:v>
                </c:pt>
                <c:pt idx="127">
                  <c:v>-4.7904283948434658</c:v>
                </c:pt>
                <c:pt idx="128">
                  <c:v>-4.4572714044488757</c:v>
                </c:pt>
                <c:pt idx="129">
                  <c:v>-4.1301993539524986</c:v>
                </c:pt>
                <c:pt idx="130">
                  <c:v>-3.8438337088011583</c:v>
                </c:pt>
                <c:pt idx="131">
                  <c:v>-3.7542192075339238</c:v>
                </c:pt>
                <c:pt idx="132">
                  <c:v>-3.4853951983418994</c:v>
                </c:pt>
                <c:pt idx="133">
                  <c:v>-3.3205552238354197</c:v>
                </c:pt>
                <c:pt idx="134">
                  <c:v>-3.1108099000434661</c:v>
                </c:pt>
                <c:pt idx="135">
                  <c:v>-2.9714250282704504</c:v>
                </c:pt>
                <c:pt idx="136">
                  <c:v>-3.0112264188882318</c:v>
                </c:pt>
                <c:pt idx="137">
                  <c:v>-2.8732672752054578</c:v>
                </c:pt>
                <c:pt idx="138">
                  <c:v>-2.6886634975875849</c:v>
                </c:pt>
                <c:pt idx="139">
                  <c:v>-2.586618482944758</c:v>
                </c:pt>
                <c:pt idx="140">
                  <c:v>-2.6002663034145117</c:v>
                </c:pt>
                <c:pt idx="141">
                  <c:v>-2.4396290073258569</c:v>
                </c:pt>
                <c:pt idx="142">
                  <c:v>-2.4974874951580444</c:v>
                </c:pt>
                <c:pt idx="143">
                  <c:v>-2.6691820907064367</c:v>
                </c:pt>
                <c:pt idx="144">
                  <c:v>-2.4996823519479743</c:v>
                </c:pt>
                <c:pt idx="145">
                  <c:v>-2.34927935291145</c:v>
                </c:pt>
                <c:pt idx="146">
                  <c:v>-2.2764641563090406</c:v>
                </c:pt>
                <c:pt idx="147">
                  <c:v>-2.3474303054492527</c:v>
                </c:pt>
                <c:pt idx="148">
                  <c:v>-2.4249135784900679</c:v>
                </c:pt>
                <c:pt idx="149">
                  <c:v>-2.3186271341281826</c:v>
                </c:pt>
                <c:pt idx="150">
                  <c:v>-2.1880110705237059</c:v>
                </c:pt>
                <c:pt idx="151">
                  <c:v>-2.0676518551715182</c:v>
                </c:pt>
                <c:pt idx="152">
                  <c:v>-1.9672822759940072</c:v>
                </c:pt>
                <c:pt idx="153">
                  <c:v>-1.9244977161292962</c:v>
                </c:pt>
                <c:pt idx="154">
                  <c:v>-1.8293583937024793</c:v>
                </c:pt>
                <c:pt idx="155">
                  <c:v>-1.7496216898038381</c:v>
                </c:pt>
                <c:pt idx="156">
                  <c:v>-1.7431058416073262</c:v>
                </c:pt>
                <c:pt idx="157">
                  <c:v>-2.1995324416792954</c:v>
                </c:pt>
                <c:pt idx="158">
                  <c:v>-2.1130914725376573</c:v>
                </c:pt>
                <c:pt idx="159">
                  <c:v>-2.1807714023782832</c:v>
                </c:pt>
                <c:pt idx="160">
                  <c:v>-2.1223472320254966</c:v>
                </c:pt>
                <c:pt idx="161">
                  <c:v>-2.1290408004895096</c:v>
                </c:pt>
                <c:pt idx="162">
                  <c:v>-2.1049089291462848</c:v>
                </c:pt>
                <c:pt idx="163">
                  <c:v>-2.1985712822465695</c:v>
                </c:pt>
                <c:pt idx="164">
                  <c:v>-2.1590020564039074</c:v>
                </c:pt>
                <c:pt idx="165">
                  <c:v>-2.1658424423496863</c:v>
                </c:pt>
                <c:pt idx="166">
                  <c:v>-2.0682130457746655</c:v>
                </c:pt>
                <c:pt idx="167">
                  <c:v>-2.0550908159441885</c:v>
                </c:pt>
                <c:pt idx="168">
                  <c:v>-2.4445380201398188</c:v>
                </c:pt>
                <c:pt idx="169">
                  <c:v>-2.2981949329385056</c:v>
                </c:pt>
                <c:pt idx="170">
                  <c:v>-2.2174550046279178</c:v>
                </c:pt>
                <c:pt idx="171">
                  <c:v>-2.1798091312252614</c:v>
                </c:pt>
                <c:pt idx="172">
                  <c:v>-2.1393816315380216</c:v>
                </c:pt>
                <c:pt idx="173">
                  <c:v>-2.0135372699505987</c:v>
                </c:pt>
                <c:pt idx="174">
                  <c:v>-1.9176741717697108</c:v>
                </c:pt>
                <c:pt idx="175">
                  <c:v>-1.8260113778190528</c:v>
                </c:pt>
                <c:pt idx="176">
                  <c:v>-1.8478230358828904</c:v>
                </c:pt>
                <c:pt idx="177">
                  <c:v>-1.7508573370707516</c:v>
                </c:pt>
                <c:pt idx="178">
                  <c:v>-1.9741446544762189</c:v>
                </c:pt>
                <c:pt idx="179">
                  <c:v>-1.8749607395935268</c:v>
                </c:pt>
                <c:pt idx="180">
                  <c:v>-2.6419793364695421</c:v>
                </c:pt>
                <c:pt idx="181">
                  <c:v>-2.544460553490131</c:v>
                </c:pt>
                <c:pt idx="182">
                  <c:v>-2.4688096922396832</c:v>
                </c:pt>
                <c:pt idx="183">
                  <c:v>-2.44312099009933</c:v>
                </c:pt>
                <c:pt idx="184">
                  <c:v>-2.3256889396829132</c:v>
                </c:pt>
                <c:pt idx="185">
                  <c:v>-2.187079299823889</c:v>
                </c:pt>
                <c:pt idx="186">
                  <c:v>-2.1296732571837937</c:v>
                </c:pt>
                <c:pt idx="187">
                  <c:v>-2.041840018852171</c:v>
                </c:pt>
                <c:pt idx="188">
                  <c:v>-1.9254509786940781</c:v>
                </c:pt>
                <c:pt idx="189">
                  <c:v>-1.908157376292531</c:v>
                </c:pt>
                <c:pt idx="190">
                  <c:v>-2.1618594127984214</c:v>
                </c:pt>
                <c:pt idx="191">
                  <c:v>-2.0667166138797426</c:v>
                </c:pt>
                <c:pt idx="192">
                  <c:v>-2.0475125873664837</c:v>
                </c:pt>
                <c:pt idx="193">
                  <c:v>-1.9385181633833493</c:v>
                </c:pt>
                <c:pt idx="194">
                  <c:v>-2.0279756242691467</c:v>
                </c:pt>
                <c:pt idx="195">
                  <c:v>-1.9194551413393814</c:v>
                </c:pt>
                <c:pt idx="196">
                  <c:v>-1.841152852148469</c:v>
                </c:pt>
                <c:pt idx="197">
                  <c:v>-1.8487483123390978</c:v>
                </c:pt>
                <c:pt idx="198">
                  <c:v>-1.7569670952080163</c:v>
                </c:pt>
                <c:pt idx="199">
                  <c:v>-1.6703302863662901</c:v>
                </c:pt>
                <c:pt idx="200">
                  <c:v>-1.7931555450837737</c:v>
                </c:pt>
                <c:pt idx="201">
                  <c:v>-1.7301689301116503</c:v>
                </c:pt>
                <c:pt idx="202">
                  <c:v>-1.7046204201885147</c:v>
                </c:pt>
                <c:pt idx="203">
                  <c:v>-1.8242340869386464</c:v>
                </c:pt>
                <c:pt idx="204">
                  <c:v>-1.9301429122225968</c:v>
                </c:pt>
                <c:pt idx="205">
                  <c:v>-2.1136466860412271</c:v>
                </c:pt>
                <c:pt idx="206">
                  <c:v>-2.1197604186630192</c:v>
                </c:pt>
                <c:pt idx="207">
                  <c:v>-2.0428214992276343</c:v>
                </c:pt>
                <c:pt idx="208">
                  <c:v>-1.9706463237073337</c:v>
                </c:pt>
                <c:pt idx="209">
                  <c:v>-1.9084445006897315</c:v>
                </c:pt>
                <c:pt idx="210">
                  <c:v>-3.5372353442236819</c:v>
                </c:pt>
                <c:pt idx="211">
                  <c:v>-3.3450881094634854</c:v>
                </c:pt>
                <c:pt idx="212">
                  <c:v>-3.2435741945419827</c:v>
                </c:pt>
                <c:pt idx="213">
                  <c:v>-3.1270561886003803</c:v>
                </c:pt>
                <c:pt idx="214">
                  <c:v>-2.963361149380682</c:v>
                </c:pt>
                <c:pt idx="215">
                  <c:v>-2.770157141539646</c:v>
                </c:pt>
                <c:pt idx="216">
                  <c:v>-2.6473955367158277</c:v>
                </c:pt>
                <c:pt idx="217">
                  <c:v>-2.5354248331093703</c:v>
                </c:pt>
                <c:pt idx="218">
                  <c:v>-2.3780973765578688</c:v>
                </c:pt>
                <c:pt idx="219">
                  <c:v>-2.2540499202414308</c:v>
                </c:pt>
                <c:pt idx="220">
                  <c:v>-2.1183050689426013</c:v>
                </c:pt>
                <c:pt idx="221">
                  <c:v>-2.6139754350324909</c:v>
                </c:pt>
                <c:pt idx="222">
                  <c:v>-2.9675905838744767</c:v>
                </c:pt>
                <c:pt idx="223">
                  <c:v>-2.8365779101936033</c:v>
                </c:pt>
                <c:pt idx="224">
                  <c:v>-2.9017104635656086</c:v>
                </c:pt>
                <c:pt idx="225">
                  <c:v>-2.7327077782756386</c:v>
                </c:pt>
                <c:pt idx="226">
                  <c:v>-2.68441068435963</c:v>
                </c:pt>
                <c:pt idx="227">
                  <c:v>-2.5085088670748212</c:v>
                </c:pt>
                <c:pt idx="228">
                  <c:v>-2.4632095742560414</c:v>
                </c:pt>
                <c:pt idx="229">
                  <c:v>-2.3741919669201557</c:v>
                </c:pt>
                <c:pt idx="230">
                  <c:v>-2.2911288920454354</c:v>
                </c:pt>
                <c:pt idx="231">
                  <c:v>-2.2179112747823089</c:v>
                </c:pt>
                <c:pt idx="232">
                  <c:v>-2.092812245002531</c:v>
                </c:pt>
                <c:pt idx="233">
                  <c:v>-1.9717998476730985</c:v>
                </c:pt>
                <c:pt idx="234">
                  <c:v>-1.9098129769844223</c:v>
                </c:pt>
                <c:pt idx="235">
                  <c:v>-2.3892661088089833</c:v>
                </c:pt>
                <c:pt idx="236">
                  <c:v>-2.3161843764423677</c:v>
                </c:pt>
                <c:pt idx="237">
                  <c:v>-2.67500622934705</c:v>
                </c:pt>
                <c:pt idx="238">
                  <c:v>-2.5058367833231672</c:v>
                </c:pt>
                <c:pt idx="239">
                  <c:v>-2.3871382307482905</c:v>
                </c:pt>
                <c:pt idx="240">
                  <c:v>-2.327700267529984</c:v>
                </c:pt>
                <c:pt idx="241">
                  <c:v>-2.2569638859550203</c:v>
                </c:pt>
                <c:pt idx="242">
                  <c:v>-2.1205524202369546</c:v>
                </c:pt>
                <c:pt idx="243">
                  <c:v>-2.0321479327936971</c:v>
                </c:pt>
                <c:pt idx="244">
                  <c:v>-2.0267334590698289</c:v>
                </c:pt>
                <c:pt idx="245">
                  <c:v>-2.1177912275585289</c:v>
                </c:pt>
                <c:pt idx="246">
                  <c:v>-2.0107152306984286</c:v>
                </c:pt>
                <c:pt idx="247">
                  <c:v>-1.9243721392241022</c:v>
                </c:pt>
                <c:pt idx="248">
                  <c:v>-1.8776147278397028</c:v>
                </c:pt>
                <c:pt idx="249">
                  <c:v>-2.2550845200985972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6-2543-9F0A-5F852D47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993407"/>
        <c:axId val="1253992959"/>
      </c:lineChart>
      <c:catAx>
        <c:axId val="125399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92959"/>
        <c:crosses val="autoZero"/>
        <c:auto val="1"/>
        <c:lblAlgn val="ctr"/>
        <c:lblOffset val="100"/>
        <c:noMultiLvlLbl val="0"/>
      </c:catAx>
      <c:valAx>
        <c:axId val="125399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9340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1096819</xdr:colOff>
      <xdr:row>231</xdr:row>
      <xdr:rowOff>2310</xdr:rowOff>
    </xdr:from>
    <xdr:to>
      <xdr:col>8</xdr:col>
      <xdr:colOff>1050637</xdr:colOff>
      <xdr:row>244</xdr:row>
      <xdr:rowOff>193964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36CC4-2A5C-4D96-42F1-E80291213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177799</xdr:colOff>
      <xdr:row>1</xdr:row>
      <xdr:rowOff>76199</xdr:rowOff>
    </xdr:from>
    <xdr:to>
      <xdr:col>27</xdr:col>
      <xdr:colOff>533399</xdr:colOff>
      <xdr:row>20</xdr:row>
      <xdr:rowOff>251341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0</xdr:colOff>
      <xdr:row>20</xdr:row>
      <xdr:rowOff>215900</xdr:rowOff>
    </xdr:from>
    <xdr:to>
      <xdr:col>39</xdr:col>
      <xdr:colOff>355599</xdr:colOff>
      <xdr:row>38</xdr:row>
      <xdr:rowOff>110165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177800</xdr:colOff>
      <xdr:row>20</xdr:row>
      <xdr:rowOff>215900</xdr:rowOff>
    </xdr:from>
    <xdr:to>
      <xdr:col>27</xdr:col>
      <xdr:colOff>533400</xdr:colOff>
      <xdr:row>37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</xdr:row>
      <xdr:rowOff>76200</xdr:rowOff>
    </xdr:from>
    <xdr:to>
      <xdr:col>39</xdr:col>
      <xdr:colOff>355600</xdr:colOff>
      <xdr:row>20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4322</xdr:rowOff>
    </xdr:from>
    <xdr:to>
      <xdr:col>18</xdr:col>
      <xdr:colOff>1583</xdr:colOff>
      <xdr:row>32</xdr:row>
      <xdr:rowOff>1350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190499</xdr:rowOff>
    </xdr:from>
    <xdr:to>
      <xdr:col>18</xdr:col>
      <xdr:colOff>0</xdr:colOff>
      <xdr:row>60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38099</xdr:colOff>
      <xdr:row>61</xdr:row>
      <xdr:rowOff>63500</xdr:rowOff>
    </xdr:from>
    <xdr:to>
      <xdr:col>18</xdr:col>
      <xdr:colOff>38099</xdr:colOff>
      <xdr:row>91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78120</xdr:rowOff>
    </xdr:from>
    <xdr:to>
      <xdr:col>6</xdr:col>
      <xdr:colOff>1844640</xdr:colOff>
      <xdr:row>99</xdr:row>
      <xdr:rowOff>32773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1744134</xdr:colOff>
      <xdr:row>78</xdr:row>
      <xdr:rowOff>95054</xdr:rowOff>
    </xdr:from>
    <xdr:to>
      <xdr:col>15</xdr:col>
      <xdr:colOff>635255</xdr:colOff>
      <xdr:row>99</xdr:row>
      <xdr:rowOff>49707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101599</xdr:rowOff>
    </xdr:from>
    <xdr:to>
      <xdr:col>6</xdr:col>
      <xdr:colOff>190500</xdr:colOff>
      <xdr:row>82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65</xdr:row>
      <xdr:rowOff>101599</xdr:rowOff>
    </xdr:from>
    <xdr:to>
      <xdr:col>13</xdr:col>
      <xdr:colOff>228600</xdr:colOff>
      <xdr:row>82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169334</xdr:colOff>
      <xdr:row>84</xdr:row>
      <xdr:rowOff>16932</xdr:rowOff>
    </xdr:from>
    <xdr:to>
      <xdr:col>9</xdr:col>
      <xdr:colOff>651934</xdr:colOff>
      <xdr:row>103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255</xdr:row>
      <xdr:rowOff>101600</xdr:rowOff>
    </xdr:from>
    <xdr:to>
      <xdr:col>7</xdr:col>
      <xdr:colOff>330200</xdr:colOff>
      <xdr:row>272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255</xdr:row>
      <xdr:rowOff>101600</xdr:rowOff>
    </xdr:from>
    <xdr:to>
      <xdr:col>18</xdr:col>
      <xdr:colOff>406400</xdr:colOff>
      <xdr:row>272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277</xdr:row>
      <xdr:rowOff>25400</xdr:rowOff>
    </xdr:from>
    <xdr:to>
      <xdr:col>11</xdr:col>
      <xdr:colOff>355600</xdr:colOff>
      <xdr:row>294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336</xdr:row>
      <xdr:rowOff>127000</xdr:rowOff>
    </xdr:from>
    <xdr:to>
      <xdr:col>7</xdr:col>
      <xdr:colOff>1028700</xdr:colOff>
      <xdr:row>356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1193800</xdr:colOff>
      <xdr:row>336</xdr:row>
      <xdr:rowOff>127000</xdr:rowOff>
    </xdr:from>
    <xdr:to>
      <xdr:col>13</xdr:col>
      <xdr:colOff>88900</xdr:colOff>
      <xdr:row>356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teeksha Mathur" id="{C99C4444-ECB5-EB43-828D-4B448EB9BE8F}" userId="253a0760c9d160b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7-01T14:26:41.08" personId="{C99C4444-ECB5-EB43-828D-4B448EB9BE8F}" id="{A11598EB-71D0-5447-8074-F62288857134}">
    <text>J(t) [actual] = K(t) [fitted, φ̂×r(t-1)] + L(t) [residual/error]</text>
  </threadedComment>
  <threadedComment ref="M3" dT="2026-07-01T14:28:01.72" personId="{C99C4444-ECB5-EB43-828D-4B448EB9BE8F}" id="{AFB6D010-E933-214B-A5AF-7C871D41B2D4}">
    <text>since r(t) = ε(t) + θ·ε(t−1) ⇒ ε(t) = r(t) − θ·ε(t−1)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F9F856-6EC4-B24E-94E3-83AA5375B408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a2c9e9f-6b7c-431c-8fc7-23e7861d0dc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4"/>
  <sheetViews>
    <sheetView showGridLines="0" tabSelected="1" zoomScale="130" zoomScaleNormal="130" workbookViewId="0">
      <selection activeCell="B9" sqref="B9"/>
    </sheetView>
  </sheetViews>
  <sheetFormatPr baseColWidth="10" defaultColWidth="8.6640625" defaultRowHeight="15" x14ac:dyDescent="0.2"/>
  <cols>
    <col min="1" max="1" width="3" customWidth="1"/>
    <col min="2" max="2" width="23" customWidth="1"/>
    <col min="3" max="3" width="16" customWidth="1"/>
    <col min="4" max="4" width="48.6640625" customWidth="1"/>
    <col min="5" max="5" width="53.33203125" customWidth="1"/>
    <col min="6" max="6" width="6.83203125" customWidth="1"/>
    <col min="7" max="7" width="16" customWidth="1"/>
    <col min="8" max="8" width="8" customWidth="1"/>
    <col min="9" max="9" width="7" customWidth="1"/>
  </cols>
  <sheetData>
    <row r="3" spans="2:9" x14ac:dyDescent="0.2">
      <c r="B3" s="45" t="s">
        <v>0</v>
      </c>
      <c r="C3" s="46"/>
      <c r="D3" s="46"/>
      <c r="E3" s="46"/>
      <c r="F3" s="46"/>
      <c r="G3" s="46"/>
      <c r="H3" s="46"/>
      <c r="I3" s="47"/>
    </row>
    <row r="4" spans="2:9" x14ac:dyDescent="0.2">
      <c r="B4" s="49" t="s">
        <v>723</v>
      </c>
      <c r="C4" s="44"/>
      <c r="D4" s="44"/>
      <c r="E4" s="44"/>
      <c r="F4" s="44"/>
      <c r="G4" s="44"/>
      <c r="H4" s="44"/>
      <c r="I4" s="44"/>
    </row>
    <row r="5" spans="2:9" x14ac:dyDescent="0.2">
      <c r="B5" s="48" t="s">
        <v>1</v>
      </c>
      <c r="C5" s="44"/>
      <c r="D5" s="44"/>
      <c r="E5" s="44"/>
      <c r="F5" s="44"/>
      <c r="G5" s="44"/>
      <c r="H5" s="44"/>
      <c r="I5" s="44"/>
    </row>
    <row r="6" spans="2:9" x14ac:dyDescent="0.2">
      <c r="B6" s="42" t="s">
        <v>2</v>
      </c>
      <c r="C6" s="1"/>
      <c r="D6" s="1"/>
      <c r="E6" s="1"/>
      <c r="F6" s="1"/>
      <c r="G6" s="1"/>
      <c r="H6" s="1"/>
      <c r="I6" s="1"/>
    </row>
    <row r="7" spans="2:9" ht="35" customHeight="1" x14ac:dyDescent="0.2">
      <c r="B7" s="43" t="s">
        <v>724</v>
      </c>
      <c r="C7" s="44"/>
      <c r="D7" s="44"/>
      <c r="E7" s="44"/>
      <c r="F7" s="44"/>
      <c r="G7" s="44"/>
      <c r="H7" s="44"/>
      <c r="I7" s="44"/>
    </row>
    <row r="8" spans="2:9" x14ac:dyDescent="0.2">
      <c r="B8" s="4" t="s">
        <v>3</v>
      </c>
      <c r="C8" s="4" t="s">
        <v>4</v>
      </c>
      <c r="D8" s="4" t="s">
        <v>5</v>
      </c>
      <c r="E8" s="4" t="s">
        <v>726</v>
      </c>
    </row>
    <row r="9" spans="2:9" ht="30" x14ac:dyDescent="0.2">
      <c r="B9" s="5" t="s">
        <v>6</v>
      </c>
      <c r="C9" s="6" t="s">
        <v>7</v>
      </c>
      <c r="D9" s="6" t="s">
        <v>8</v>
      </c>
      <c r="E9" s="6" t="s">
        <v>9</v>
      </c>
    </row>
    <row r="10" spans="2:9" ht="30" x14ac:dyDescent="0.2">
      <c r="B10" s="7" t="s">
        <v>10</v>
      </c>
      <c r="C10" s="8" t="s">
        <v>11</v>
      </c>
      <c r="D10" s="8" t="s">
        <v>12</v>
      </c>
      <c r="E10" s="8" t="s">
        <v>13</v>
      </c>
    </row>
    <row r="11" spans="2:9" ht="30" x14ac:dyDescent="0.2">
      <c r="B11" s="5" t="s">
        <v>14</v>
      </c>
      <c r="C11" s="6" t="s">
        <v>15</v>
      </c>
      <c r="D11" s="6" t="s">
        <v>16</v>
      </c>
      <c r="E11" s="6" t="s">
        <v>17</v>
      </c>
    </row>
    <row r="12" spans="2:9" ht="30" x14ac:dyDescent="0.2">
      <c r="B12" s="7" t="s">
        <v>18</v>
      </c>
      <c r="C12" s="8" t="s">
        <v>19</v>
      </c>
      <c r="D12" s="8" t="s">
        <v>20</v>
      </c>
      <c r="E12" s="8" t="s">
        <v>21</v>
      </c>
    </row>
    <row r="13" spans="2:9" ht="45" x14ac:dyDescent="0.2">
      <c r="B13" s="5" t="s">
        <v>22</v>
      </c>
      <c r="C13" s="6" t="s">
        <v>23</v>
      </c>
      <c r="D13" s="9" t="s">
        <v>24</v>
      </c>
      <c r="E13" s="9" t="s">
        <v>25</v>
      </c>
    </row>
    <row r="14" spans="2:9" ht="45" x14ac:dyDescent="0.2">
      <c r="B14" s="7" t="s">
        <v>26</v>
      </c>
      <c r="C14" s="10" t="s">
        <v>27</v>
      </c>
      <c r="D14" s="10" t="s">
        <v>28</v>
      </c>
      <c r="E14" s="10" t="s">
        <v>725</v>
      </c>
    </row>
  </sheetData>
  <mergeCells count="4">
    <mergeCell ref="B7:I7"/>
    <mergeCell ref="B3:I3"/>
    <mergeCell ref="B5:I5"/>
    <mergeCell ref="B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5"/>
  <sheetViews>
    <sheetView showGridLines="0" topLeftCell="A25" zoomScale="110" zoomScaleNormal="110" workbookViewId="0">
      <selection activeCell="D3" sqref="D3"/>
    </sheetView>
  </sheetViews>
  <sheetFormatPr baseColWidth="10" defaultColWidth="8.6640625" defaultRowHeight="15" x14ac:dyDescent="0.2"/>
  <cols>
    <col min="1" max="1" width="14" customWidth="1"/>
    <col min="2" max="2" width="13" customWidth="1"/>
    <col min="3" max="4" width="15" style="3" customWidth="1"/>
    <col min="5" max="5" width="8.1640625" style="2" bestFit="1" customWidth="1"/>
    <col min="6" max="6" width="50" customWidth="1"/>
    <col min="7" max="7" width="2" customWidth="1"/>
    <col min="9" max="9" width="17" customWidth="1"/>
    <col min="11" max="11" width="17" customWidth="1"/>
    <col min="12" max="12" width="15" customWidth="1"/>
  </cols>
  <sheetData>
    <row r="1" spans="1:12" ht="16" customHeight="1" thickBot="1" x14ac:dyDescent="0.25"/>
    <row r="2" spans="1:12" ht="18" customHeight="1" thickBot="1" x14ac:dyDescent="0.25">
      <c r="A2" s="50" t="s">
        <v>29</v>
      </c>
      <c r="B2" s="46"/>
      <c r="C2" s="46"/>
      <c r="D2" s="46"/>
      <c r="E2" s="46"/>
      <c r="F2" s="47"/>
    </row>
    <row r="3" spans="1:12" ht="16" customHeight="1" thickBot="1" x14ac:dyDescent="0.25">
      <c r="A3" s="4" t="s">
        <v>30</v>
      </c>
      <c r="B3" s="4" t="s">
        <v>31</v>
      </c>
      <c r="C3" s="11" t="s">
        <v>32</v>
      </c>
      <c r="D3" s="11" t="s">
        <v>33</v>
      </c>
      <c r="E3" s="2" t="s">
        <v>34</v>
      </c>
    </row>
    <row r="4" spans="1:12" x14ac:dyDescent="0.2">
      <c r="A4" s="12" t="s">
        <v>35</v>
      </c>
      <c r="B4" s="13">
        <v>4500</v>
      </c>
      <c r="C4" s="14" t="s">
        <v>36</v>
      </c>
      <c r="D4" s="14" t="s">
        <v>36</v>
      </c>
      <c r="F4" s="15" t="s">
        <v>37</v>
      </c>
      <c r="I4" s="54" t="s">
        <v>38</v>
      </c>
      <c r="J4" s="52"/>
      <c r="K4" s="52"/>
      <c r="L4" s="55"/>
    </row>
    <row r="5" spans="1:12" x14ac:dyDescent="0.2">
      <c r="A5" s="17" t="s">
        <v>39</v>
      </c>
      <c r="B5" s="18">
        <v>4526.5600000000004</v>
      </c>
      <c r="C5" s="19">
        <f>B5/B4-1</f>
        <v>5.9022222222222531E-3</v>
      </c>
      <c r="D5" s="20">
        <f>LN(B5/B4)</f>
        <v>5.8848723437282197E-3</v>
      </c>
      <c r="E5" s="2">
        <f>D5-C5</f>
        <v>-1.7349878494033431E-5</v>
      </c>
      <c r="F5" s="6"/>
      <c r="H5" s="21"/>
      <c r="I5" s="22" t="s">
        <v>40</v>
      </c>
      <c r="J5" s="51">
        <f>LN(B5/B4)*100</f>
        <v>0.58848723437282202</v>
      </c>
      <c r="K5" s="52"/>
      <c r="L5" s="23"/>
    </row>
    <row r="6" spans="1:12" ht="28" customHeight="1" x14ac:dyDescent="0.2">
      <c r="A6" s="12" t="s">
        <v>41</v>
      </c>
      <c r="B6" s="13">
        <v>4521.08</v>
      </c>
      <c r="C6" s="20">
        <f t="shared" ref="C5:C68" si="0">B6/B5-1</f>
        <v>-1.2106323565799215E-3</v>
      </c>
      <c r="D6" s="20">
        <f t="shared" ref="D5:D68" si="1">LN(B6/B5)</f>
        <v>-1.2113657639155101E-3</v>
      </c>
      <c r="E6" s="2">
        <f t="shared" ref="E5:E68" si="2">D6-C6</f>
        <v>-7.3340733558859353E-7</v>
      </c>
      <c r="F6" s="6" t="s">
        <v>42</v>
      </c>
      <c r="I6" s="22" t="s">
        <v>43</v>
      </c>
      <c r="J6" s="51">
        <f>LN(B6/B5)*100</f>
        <v>-0.12113657639155101</v>
      </c>
      <c r="K6" s="52"/>
      <c r="L6" s="23"/>
    </row>
    <row r="7" spans="1:12" ht="28" customHeight="1" x14ac:dyDescent="0.2">
      <c r="A7" s="17" t="s">
        <v>44</v>
      </c>
      <c r="B7" s="18">
        <v>4551.34</v>
      </c>
      <c r="C7" s="20">
        <f>B7/B6-1</f>
        <v>6.6930910313465208E-3</v>
      </c>
      <c r="D7" s="20">
        <f>LN(B7/B6)</f>
        <v>6.6707917430471964E-3</v>
      </c>
      <c r="E7" s="2">
        <f t="shared" si="2"/>
        <v>-2.2299288299324448E-5</v>
      </c>
      <c r="F7" s="6" t="s">
        <v>45</v>
      </c>
      <c r="I7" s="22" t="s">
        <v>46</v>
      </c>
      <c r="J7" s="51">
        <f>LN(B6/B4)*100</f>
        <v>0.46735065798128156</v>
      </c>
      <c r="K7" s="52"/>
      <c r="L7" s="23"/>
    </row>
    <row r="8" spans="1:12" ht="28" customHeight="1" x14ac:dyDescent="0.2">
      <c r="A8" s="12" t="s">
        <v>47</v>
      </c>
      <c r="B8" s="13">
        <v>4625.05</v>
      </c>
      <c r="C8" s="20">
        <f t="shared" si="0"/>
        <v>1.6195230415657846E-2</v>
      </c>
      <c r="D8" s="20">
        <f t="shared" si="1"/>
        <v>1.6065486617628962E-2</v>
      </c>
      <c r="E8" s="2">
        <f t="shared" si="2"/>
        <v>-1.2974379802888417E-4</v>
      </c>
      <c r="F8" s="6" t="s">
        <v>48</v>
      </c>
      <c r="I8" s="22" t="s">
        <v>49</v>
      </c>
      <c r="J8" s="51">
        <f>J5+J6</f>
        <v>0.46735065798127101</v>
      </c>
      <c r="K8" s="52"/>
      <c r="L8" s="23"/>
    </row>
    <row r="9" spans="1:12" x14ac:dyDescent="0.2">
      <c r="A9" s="17" t="s">
        <v>50</v>
      </c>
      <c r="B9" s="18">
        <v>4613.71</v>
      </c>
      <c r="C9" s="20">
        <f t="shared" si="0"/>
        <v>-2.4518653852391159E-3</v>
      </c>
      <c r="D9" s="20">
        <f t="shared" si="1"/>
        <v>-2.4548761294726756E-3</v>
      </c>
      <c r="E9" s="2">
        <f t="shared" si="2"/>
        <v>-3.0107442335596674E-6</v>
      </c>
      <c r="F9" s="6" t="s">
        <v>51</v>
      </c>
      <c r="I9" s="22" t="s">
        <v>52</v>
      </c>
      <c r="J9" s="53" t="str">
        <f>IF(ABS(J7-J8)&lt;0.0001,"YES — they are equal!","Check formulas")</f>
        <v>YES — they are equal!</v>
      </c>
      <c r="K9" s="52"/>
      <c r="L9" s="23" t="s">
        <v>53</v>
      </c>
    </row>
    <row r="10" spans="1:12" x14ac:dyDescent="0.2">
      <c r="A10" s="12" t="s">
        <v>54</v>
      </c>
      <c r="B10" s="13">
        <v>4604.4399999999996</v>
      </c>
      <c r="C10" s="20">
        <f t="shared" si="0"/>
        <v>-2.009229015261127E-3</v>
      </c>
      <c r="D10" s="20">
        <f t="shared" si="1"/>
        <v>-2.0112502237132545E-3</v>
      </c>
      <c r="E10" s="2">
        <f t="shared" si="2"/>
        <v>-2.021208452127575E-6</v>
      </c>
      <c r="F10" s="6"/>
    </row>
    <row r="11" spans="1:12" x14ac:dyDescent="0.2">
      <c r="A11" s="17" t="s">
        <v>55</v>
      </c>
      <c r="B11" s="18">
        <v>4675.59</v>
      </c>
      <c r="C11" s="20">
        <f t="shared" si="0"/>
        <v>1.5452476305479079E-2</v>
      </c>
      <c r="D11" s="20">
        <f t="shared" si="1"/>
        <v>1.5334302622674396E-2</v>
      </c>
      <c r="E11" s="2">
        <f t="shared" si="2"/>
        <v>-1.1817368280468352E-4</v>
      </c>
      <c r="F11" s="15" t="s">
        <v>56</v>
      </c>
      <c r="I11" s="54" t="s">
        <v>57</v>
      </c>
      <c r="J11" s="52"/>
      <c r="K11" s="52"/>
      <c r="L11" s="55"/>
    </row>
    <row r="12" spans="1:12" x14ac:dyDescent="0.2">
      <c r="A12" s="12" t="s">
        <v>58</v>
      </c>
      <c r="B12" s="13">
        <v>4717.2700000000004</v>
      </c>
      <c r="C12" s="20">
        <f t="shared" si="0"/>
        <v>8.9143829976539024E-3</v>
      </c>
      <c r="D12" s="20">
        <f t="shared" si="1"/>
        <v>8.8748844487809755E-3</v>
      </c>
      <c r="E12" s="2">
        <f t="shared" si="2"/>
        <v>-3.9498548872926934E-5</v>
      </c>
      <c r="F12" s="6"/>
      <c r="I12" s="22" t="s">
        <v>59</v>
      </c>
      <c r="J12" s="51">
        <f>(B5/B4-1)*100</f>
        <v>0.59022222222222531</v>
      </c>
      <c r="K12" s="52"/>
      <c r="L12" s="23"/>
    </row>
    <row r="13" spans="1:12" x14ac:dyDescent="0.2">
      <c r="A13" s="17" t="s">
        <v>60</v>
      </c>
      <c r="B13" s="18">
        <v>4694.58</v>
      </c>
      <c r="C13" s="20">
        <f t="shared" si="0"/>
        <v>-4.8099854364920258E-3</v>
      </c>
      <c r="D13" s="20">
        <f t="shared" si="1"/>
        <v>-4.8215906453202137E-3</v>
      </c>
      <c r="E13" s="2">
        <f t="shared" si="2"/>
        <v>-1.160520882818785E-5</v>
      </c>
      <c r="F13" s="6" t="s">
        <v>61</v>
      </c>
      <c r="I13" s="22" t="s">
        <v>62</v>
      </c>
      <c r="J13" s="51">
        <f>(B6/B5-1)*100</f>
        <v>-0.12106323565799215</v>
      </c>
      <c r="K13" s="52"/>
      <c r="L13" s="23"/>
    </row>
    <row r="14" spans="1:12" ht="28" customHeight="1" x14ac:dyDescent="0.2">
      <c r="A14" s="12" t="s">
        <v>63</v>
      </c>
      <c r="B14" s="13">
        <v>4720.53</v>
      </c>
      <c r="C14" s="20">
        <f t="shared" si="0"/>
        <v>5.5276510358752695E-3</v>
      </c>
      <c r="D14" s="20">
        <f t="shared" si="1"/>
        <v>5.5124296395039872E-3</v>
      </c>
      <c r="E14" s="2">
        <f t="shared" si="2"/>
        <v>-1.5221396371282309E-5</v>
      </c>
      <c r="F14" s="6"/>
      <c r="I14" s="22" t="s">
        <v>64</v>
      </c>
      <c r="J14" s="51">
        <f>(B6/B4-1)*100</f>
        <v>0.4684444444444491</v>
      </c>
      <c r="K14" s="52"/>
      <c r="L14" s="23"/>
    </row>
    <row r="15" spans="1:12" ht="28" customHeight="1" x14ac:dyDescent="0.2">
      <c r="A15" s="17" t="s">
        <v>65</v>
      </c>
      <c r="B15" s="18">
        <v>4700.32</v>
      </c>
      <c r="C15" s="20">
        <f t="shared" si="0"/>
        <v>-4.2812989219430664E-3</v>
      </c>
      <c r="D15" s="20">
        <f t="shared" si="1"/>
        <v>-4.2904899245061814E-3</v>
      </c>
      <c r="E15" s="2">
        <f t="shared" si="2"/>
        <v>-9.1910025631150583E-6</v>
      </c>
      <c r="F15" s="15" t="s">
        <v>66</v>
      </c>
      <c r="I15" s="22" t="s">
        <v>49</v>
      </c>
      <c r="J15" s="51">
        <f>J12+J13</f>
        <v>0.46915898656423316</v>
      </c>
      <c r="K15" s="52"/>
      <c r="L15" s="23"/>
    </row>
    <row r="16" spans="1:12" ht="30" customHeight="1" x14ac:dyDescent="0.2">
      <c r="A16" s="12" t="s">
        <v>67</v>
      </c>
      <c r="B16" s="13">
        <v>4680.5600000000004</v>
      </c>
      <c r="C16" s="20">
        <f t="shared" si="0"/>
        <v>-4.20396909146592E-3</v>
      </c>
      <c r="D16" s="20">
        <f t="shared" si="1"/>
        <v>-4.2128306139583025E-3</v>
      </c>
      <c r="E16" s="2">
        <f t="shared" si="2"/>
        <v>-8.8615224923824579E-6</v>
      </c>
      <c r="F16" s="6"/>
      <c r="I16" s="22" t="s">
        <v>52</v>
      </c>
      <c r="J16" s="53" t="str">
        <f>IF(ABS(J14-J15)&lt;0.0001,"YES — they are equal!","NO — simple returns do NOT add!")</f>
        <v>NO — simple returns do NOT add!</v>
      </c>
      <c r="K16" s="52"/>
      <c r="L16" s="23" t="s">
        <v>68</v>
      </c>
    </row>
    <row r="17" spans="1:6" x14ac:dyDescent="0.2">
      <c r="A17" s="17" t="s">
        <v>69</v>
      </c>
      <c r="B17" s="18">
        <v>4692.7299999999996</v>
      </c>
      <c r="C17" s="20">
        <f t="shared" si="0"/>
        <v>2.6001162254087884E-3</v>
      </c>
      <c r="D17" s="20">
        <f t="shared" si="1"/>
        <v>2.5967417712656309E-3</v>
      </c>
      <c r="E17" s="2">
        <f t="shared" si="2"/>
        <v>-3.3744541431575403E-6</v>
      </c>
      <c r="F17" s="24" t="s">
        <v>70</v>
      </c>
    </row>
    <row r="18" spans="1:6" ht="26" customHeight="1" x14ac:dyDescent="0.2">
      <c r="A18" s="12" t="s">
        <v>71</v>
      </c>
      <c r="B18" s="13">
        <v>4603.62</v>
      </c>
      <c r="C18" s="20">
        <f t="shared" si="0"/>
        <v>-1.8988946732498957E-2</v>
      </c>
      <c r="D18" s="20">
        <f t="shared" si="1"/>
        <v>-1.9171552133154184E-2</v>
      </c>
      <c r="E18" s="2">
        <f t="shared" si="2"/>
        <v>-1.8260540065522662E-4</v>
      </c>
      <c r="F18" s="25" t="s">
        <v>72</v>
      </c>
    </row>
    <row r="19" spans="1:6" x14ac:dyDescent="0.2">
      <c r="A19" s="17" t="s">
        <v>73</v>
      </c>
      <c r="B19" s="18">
        <v>4510.34</v>
      </c>
      <c r="C19" s="20">
        <f t="shared" si="0"/>
        <v>-2.0262315308387735E-2</v>
      </c>
      <c r="D19" s="20">
        <f t="shared" si="1"/>
        <v>-2.0470411829203214E-2</v>
      </c>
      <c r="E19" s="2">
        <f t="shared" si="2"/>
        <v>-2.0809652081547891E-4</v>
      </c>
      <c r="F19" s="6"/>
    </row>
    <row r="20" spans="1:6" ht="28" customHeight="1" x14ac:dyDescent="0.2">
      <c r="A20" s="12" t="s">
        <v>74</v>
      </c>
      <c r="B20" s="13">
        <v>4481.22</v>
      </c>
      <c r="C20" s="20">
        <f t="shared" si="0"/>
        <v>-6.4562760235370442E-3</v>
      </c>
      <c r="D20" s="20">
        <f t="shared" si="1"/>
        <v>-6.4772079169447584E-3</v>
      </c>
      <c r="E20" s="2">
        <f t="shared" si="2"/>
        <v>-2.0931893407714203E-5</v>
      </c>
      <c r="F20" s="24" t="s">
        <v>75</v>
      </c>
    </row>
    <row r="21" spans="1:6" ht="26" customHeight="1" x14ac:dyDescent="0.2">
      <c r="A21" s="17" t="s">
        <v>76</v>
      </c>
      <c r="B21" s="18">
        <v>4437.53</v>
      </c>
      <c r="C21" s="20">
        <f t="shared" si="0"/>
        <v>-9.7495771240868612E-3</v>
      </c>
      <c r="D21" s="20">
        <f t="shared" si="1"/>
        <v>-9.7974154406534671E-3</v>
      </c>
      <c r="E21" s="2">
        <f t="shared" si="2"/>
        <v>-4.7838316566605962E-5</v>
      </c>
      <c r="F21" s="25" t="s">
        <v>77</v>
      </c>
    </row>
    <row r="22" spans="1:6" x14ac:dyDescent="0.2">
      <c r="A22" s="12" t="s">
        <v>78</v>
      </c>
      <c r="B22" s="13">
        <v>4453.62</v>
      </c>
      <c r="C22" s="20">
        <f t="shared" si="0"/>
        <v>3.6258909798920769E-3</v>
      </c>
      <c r="D22" s="20">
        <f t="shared" si="1"/>
        <v>3.6193332840726675E-3</v>
      </c>
      <c r="E22" s="2">
        <f t="shared" si="2"/>
        <v>-6.5576958194093864E-6</v>
      </c>
      <c r="F22" s="6"/>
    </row>
    <row r="23" spans="1:6" ht="28" customHeight="1" x14ac:dyDescent="0.2">
      <c r="A23" s="17" t="s">
        <v>79</v>
      </c>
      <c r="B23" s="18">
        <v>4414.8100000000004</v>
      </c>
      <c r="C23" s="20">
        <f t="shared" si="0"/>
        <v>-8.7142594114449912E-3</v>
      </c>
      <c r="D23" s="20">
        <f t="shared" si="1"/>
        <v>-8.7524506038356795E-3</v>
      </c>
      <c r="E23" s="2">
        <f t="shared" si="2"/>
        <v>-3.8191192390688369E-5</v>
      </c>
      <c r="F23" s="24" t="s">
        <v>80</v>
      </c>
    </row>
    <row r="24" spans="1:6" x14ac:dyDescent="0.2">
      <c r="A24" s="12" t="s">
        <v>81</v>
      </c>
      <c r="B24" s="13">
        <v>4352.34</v>
      </c>
      <c r="C24" s="20">
        <f t="shared" si="0"/>
        <v>-1.4150099324772847E-2</v>
      </c>
      <c r="D24" s="20">
        <f t="shared" si="1"/>
        <v>-1.4251166520256224E-2</v>
      </c>
      <c r="E24" s="2">
        <f t="shared" si="2"/>
        <v>-1.0106719548337757E-4</v>
      </c>
      <c r="F24" s="25" t="s">
        <v>82</v>
      </c>
    </row>
    <row r="25" spans="1:6" x14ac:dyDescent="0.2">
      <c r="A25" s="17" t="s">
        <v>83</v>
      </c>
      <c r="B25" s="18">
        <v>4425.34</v>
      </c>
      <c r="C25" s="20">
        <f t="shared" si="0"/>
        <v>1.6772586700487535E-2</v>
      </c>
      <c r="D25" s="20">
        <f t="shared" si="1"/>
        <v>1.6633480164295882E-2</v>
      </c>
      <c r="E25" s="2">
        <f t="shared" si="2"/>
        <v>-1.3910653619165353E-4</v>
      </c>
      <c r="F25" s="6"/>
    </row>
    <row r="26" spans="1:6" x14ac:dyDescent="0.2">
      <c r="A26" s="12" t="s">
        <v>84</v>
      </c>
      <c r="B26" s="13">
        <v>4415.05</v>
      </c>
      <c r="C26" s="20">
        <f t="shared" si="0"/>
        <v>-2.3252450659158042E-3</v>
      </c>
      <c r="D26" s="20">
        <f t="shared" si="1"/>
        <v>-2.3279526462302333E-3</v>
      </c>
      <c r="E26" s="2">
        <f t="shared" si="2"/>
        <v>-2.7075803144291193E-6</v>
      </c>
      <c r="F26" s="26" t="s">
        <v>85</v>
      </c>
    </row>
    <row r="27" spans="1:6" ht="28" customHeight="1" x14ac:dyDescent="0.2">
      <c r="A27" s="17" t="s">
        <v>86</v>
      </c>
      <c r="B27" s="18">
        <v>4419.1899999999996</v>
      </c>
      <c r="C27" s="20">
        <f t="shared" si="0"/>
        <v>9.3770172478224723E-4</v>
      </c>
      <c r="D27" s="20">
        <f t="shared" si="1"/>
        <v>9.3726235716231547E-4</v>
      </c>
      <c r="E27" s="2">
        <f t="shared" si="2"/>
        <v>-4.3936761993175651E-7</v>
      </c>
      <c r="F27" s="6" t="s">
        <v>87</v>
      </c>
    </row>
    <row r="28" spans="1:6" ht="28" customHeight="1" x14ac:dyDescent="0.2">
      <c r="A28" s="12" t="s">
        <v>88</v>
      </c>
      <c r="B28" s="13">
        <v>4359.34</v>
      </c>
      <c r="C28" s="20">
        <f t="shared" si="0"/>
        <v>-1.3543205881620723E-2</v>
      </c>
      <c r="D28" s="20">
        <f t="shared" si="1"/>
        <v>-1.3635751621641814E-2</v>
      </c>
      <c r="E28" s="2">
        <f t="shared" si="2"/>
        <v>-9.2545740021090714E-5</v>
      </c>
      <c r="F28" s="6" t="s">
        <v>89</v>
      </c>
    </row>
    <row r="29" spans="1:6" x14ac:dyDescent="0.2">
      <c r="A29" s="17" t="s">
        <v>90</v>
      </c>
      <c r="B29" s="18">
        <v>4335.03</v>
      </c>
      <c r="C29" s="20">
        <f t="shared" si="0"/>
        <v>-5.5765322273556572E-3</v>
      </c>
      <c r="D29" s="20">
        <f t="shared" si="1"/>
        <v>-5.5921391318446883E-3</v>
      </c>
      <c r="E29" s="2">
        <f t="shared" si="2"/>
        <v>-1.5606904489031022E-5</v>
      </c>
    </row>
    <row r="30" spans="1:6" ht="28" customHeight="1" x14ac:dyDescent="0.2">
      <c r="A30" s="12" t="s">
        <v>91</v>
      </c>
      <c r="B30" s="13">
        <v>4341.04</v>
      </c>
      <c r="C30" s="20">
        <f t="shared" si="0"/>
        <v>1.3863802557307903E-3</v>
      </c>
      <c r="D30" s="20">
        <f t="shared" si="1"/>
        <v>1.3854201179323263E-3</v>
      </c>
      <c r="E30" s="2">
        <f t="shared" si="2"/>
        <v>-9.6013779846398223E-7</v>
      </c>
      <c r="F30" s="16" t="s">
        <v>92</v>
      </c>
    </row>
    <row r="31" spans="1:6" x14ac:dyDescent="0.2">
      <c r="A31" s="17" t="s">
        <v>93</v>
      </c>
      <c r="B31" s="18">
        <v>4293.4799999999996</v>
      </c>
      <c r="C31" s="20">
        <f t="shared" si="0"/>
        <v>-1.095589996867119E-2</v>
      </c>
      <c r="D31" s="20">
        <f t="shared" si="1"/>
        <v>-1.1016357826425731E-2</v>
      </c>
      <c r="E31" s="2">
        <f t="shared" si="2"/>
        <v>-6.0457857754540878E-5</v>
      </c>
      <c r="F31" s="22" t="s">
        <v>94</v>
      </c>
    </row>
    <row r="32" spans="1:6" x14ac:dyDescent="0.2">
      <c r="A32" s="12" t="s">
        <v>95</v>
      </c>
      <c r="B32" s="13">
        <v>4312.13</v>
      </c>
      <c r="C32" s="20">
        <f t="shared" si="0"/>
        <v>4.3437957088423573E-3</v>
      </c>
      <c r="D32" s="20">
        <f t="shared" si="1"/>
        <v>4.3343886599564773E-3</v>
      </c>
      <c r="E32" s="2">
        <f t="shared" si="2"/>
        <v>-9.407048885880058E-6</v>
      </c>
      <c r="F32" s="22" t="s">
        <v>96</v>
      </c>
    </row>
    <row r="33" spans="1:6" x14ac:dyDescent="0.2">
      <c r="A33" s="17" t="s">
        <v>97</v>
      </c>
      <c r="B33" s="18">
        <v>4286.49</v>
      </c>
      <c r="C33" s="20">
        <f t="shared" si="0"/>
        <v>-5.9460173974347219E-3</v>
      </c>
      <c r="D33" s="20">
        <f t="shared" si="1"/>
        <v>-5.9637653469286865E-3</v>
      </c>
      <c r="E33" s="2">
        <f t="shared" si="2"/>
        <v>-1.7747949493964604E-5</v>
      </c>
      <c r="F33" s="22" t="s">
        <v>98</v>
      </c>
    </row>
    <row r="34" spans="1:6" x14ac:dyDescent="0.2">
      <c r="A34" s="12" t="s">
        <v>99</v>
      </c>
      <c r="B34" s="13">
        <v>4274.6499999999996</v>
      </c>
      <c r="C34" s="20">
        <f t="shared" si="0"/>
        <v>-2.7621667144913653E-3</v>
      </c>
      <c r="D34" s="20">
        <f t="shared" si="1"/>
        <v>-2.7659885362656092E-3</v>
      </c>
      <c r="E34" s="2">
        <f t="shared" si="2"/>
        <v>-3.8218217742439116E-6</v>
      </c>
      <c r="F34" s="27" t="s">
        <v>100</v>
      </c>
    </row>
    <row r="35" spans="1:6" ht="28" customHeight="1" x14ac:dyDescent="0.2">
      <c r="A35" s="17" t="s">
        <v>101</v>
      </c>
      <c r="B35" s="18">
        <v>4251.3100000000004</v>
      </c>
      <c r="C35" s="20">
        <f t="shared" si="0"/>
        <v>-5.4600961482225152E-3</v>
      </c>
      <c r="D35" s="20">
        <f t="shared" si="1"/>
        <v>-5.4750569563483563E-3</v>
      </c>
      <c r="E35" s="2">
        <f t="shared" si="2"/>
        <v>-1.4960808125841045E-5</v>
      </c>
      <c r="F35" s="22" t="s">
        <v>102</v>
      </c>
    </row>
    <row r="36" spans="1:6" x14ac:dyDescent="0.2">
      <c r="A36" s="12" t="s">
        <v>103</v>
      </c>
      <c r="B36" s="13">
        <v>4330.29</v>
      </c>
      <c r="C36" s="20">
        <f t="shared" si="0"/>
        <v>1.8577803077169053E-2</v>
      </c>
      <c r="D36" s="20">
        <f t="shared" si="1"/>
        <v>1.8407343631838935E-2</v>
      </c>
      <c r="E36" s="2">
        <f t="shared" si="2"/>
        <v>-1.7045944533011781E-4</v>
      </c>
    </row>
    <row r="37" spans="1:6" x14ac:dyDescent="0.2">
      <c r="A37" s="17" t="s">
        <v>104</v>
      </c>
      <c r="B37" s="18">
        <v>4330.67</v>
      </c>
      <c r="C37" s="20">
        <f t="shared" si="0"/>
        <v>8.7753937958012784E-5</v>
      </c>
      <c r="D37" s="20">
        <f t="shared" si="1"/>
        <v>8.7750087806441539E-5</v>
      </c>
      <c r="E37" s="2">
        <f t="shared" si="2"/>
        <v>-3.8501515712451506E-9</v>
      </c>
    </row>
    <row r="38" spans="1:6" x14ac:dyDescent="0.2">
      <c r="A38" s="12" t="s">
        <v>105</v>
      </c>
      <c r="B38" s="13">
        <v>4290.34</v>
      </c>
      <c r="C38" s="20">
        <f t="shared" si="0"/>
        <v>-9.312646772901223E-3</v>
      </c>
      <c r="D38" s="20">
        <f t="shared" si="1"/>
        <v>-9.3562805766086825E-3</v>
      </c>
      <c r="E38" s="2">
        <f t="shared" si="2"/>
        <v>-4.3633803707459479E-5</v>
      </c>
    </row>
    <row r="39" spans="1:6" x14ac:dyDescent="0.2">
      <c r="A39" s="17" t="s">
        <v>106</v>
      </c>
      <c r="B39" s="18">
        <v>4329.4799999999996</v>
      </c>
      <c r="C39" s="20">
        <f t="shared" si="0"/>
        <v>9.1228201028354938E-3</v>
      </c>
      <c r="D39" s="20">
        <f t="shared" si="1"/>
        <v>9.0814585452372431E-3</v>
      </c>
      <c r="E39" s="2">
        <f t="shared" si="2"/>
        <v>-4.1361557598250734E-5</v>
      </c>
    </row>
    <row r="40" spans="1:6" x14ac:dyDescent="0.2">
      <c r="A40" s="12" t="s">
        <v>107</v>
      </c>
      <c r="B40" s="13">
        <v>4272.75</v>
      </c>
      <c r="C40" s="20">
        <f t="shared" si="0"/>
        <v>-1.3103190221458338E-2</v>
      </c>
      <c r="D40" s="20">
        <f t="shared" si="1"/>
        <v>-1.3189794377500771E-2</v>
      </c>
      <c r="E40" s="2">
        <f t="shared" si="2"/>
        <v>-8.6604156042432989E-5</v>
      </c>
    </row>
    <row r="41" spans="1:6" x14ac:dyDescent="0.2">
      <c r="A41" s="17" t="s">
        <v>108</v>
      </c>
      <c r="B41" s="18">
        <v>4283.83</v>
      </c>
      <c r="C41" s="20">
        <f t="shared" si="0"/>
        <v>2.5931776958632025E-3</v>
      </c>
      <c r="D41" s="20">
        <f t="shared" si="1"/>
        <v>2.5898212119692798E-3</v>
      </c>
      <c r="E41" s="2">
        <f t="shared" si="2"/>
        <v>-3.3564838939226932E-6</v>
      </c>
    </row>
    <row r="42" spans="1:6" x14ac:dyDescent="0.2">
      <c r="A42" s="12" t="s">
        <v>109</v>
      </c>
      <c r="B42" s="13">
        <v>4204.0200000000004</v>
      </c>
      <c r="C42" s="20">
        <f t="shared" si="0"/>
        <v>-1.863052455396208E-2</v>
      </c>
      <c r="D42" s="20">
        <f t="shared" si="1"/>
        <v>-1.8806258881128822E-2</v>
      </c>
      <c r="E42" s="2">
        <f t="shared" si="2"/>
        <v>-1.7573432716674192E-4</v>
      </c>
    </row>
    <row r="43" spans="1:6" x14ac:dyDescent="0.2">
      <c r="A43" s="17" t="s">
        <v>110</v>
      </c>
      <c r="B43" s="18">
        <v>4139.05</v>
      </c>
      <c r="C43" s="20">
        <f t="shared" si="0"/>
        <v>-1.5454255688602925E-2</v>
      </c>
      <c r="D43" s="20">
        <f t="shared" si="1"/>
        <v>-1.5574917471076215E-2</v>
      </c>
      <c r="E43" s="2">
        <f t="shared" si="2"/>
        <v>-1.2066178247329036E-4</v>
      </c>
    </row>
    <row r="44" spans="1:6" x14ac:dyDescent="0.2">
      <c r="A44" s="12" t="s">
        <v>111</v>
      </c>
      <c r="B44" s="13">
        <v>4149.3599999999997</v>
      </c>
      <c r="C44" s="20">
        <f t="shared" si="0"/>
        <v>2.4909097498218014E-3</v>
      </c>
      <c r="D44" s="20">
        <f t="shared" si="1"/>
        <v>2.4878125762513E-3</v>
      </c>
      <c r="E44" s="2">
        <f t="shared" si="2"/>
        <v>-3.09717357050137E-6</v>
      </c>
    </row>
    <row r="45" spans="1:6" x14ac:dyDescent="0.2">
      <c r="A45" s="17" t="s">
        <v>112</v>
      </c>
      <c r="B45" s="18">
        <v>4180.82</v>
      </c>
      <c r="C45" s="20">
        <f t="shared" si="0"/>
        <v>7.581892147222824E-3</v>
      </c>
      <c r="D45" s="20">
        <f t="shared" si="1"/>
        <v>7.5532940637161585E-3</v>
      </c>
      <c r="E45" s="2">
        <f t="shared" si="2"/>
        <v>-2.8598083506665463E-5</v>
      </c>
    </row>
    <row r="46" spans="1:6" x14ac:dyDescent="0.2">
      <c r="A46" s="12" t="s">
        <v>113</v>
      </c>
      <c r="B46" s="13">
        <v>4189.67</v>
      </c>
      <c r="C46" s="20">
        <f t="shared" si="0"/>
        <v>2.1168096210792964E-3</v>
      </c>
      <c r="D46" s="20">
        <f t="shared" si="1"/>
        <v>2.1145723363076522E-3</v>
      </c>
      <c r="E46" s="2">
        <f t="shared" si="2"/>
        <v>-2.2372847716441852E-6</v>
      </c>
    </row>
    <row r="47" spans="1:6" x14ac:dyDescent="0.2">
      <c r="A47" s="17" t="s">
        <v>114</v>
      </c>
      <c r="B47" s="18">
        <v>4186.12</v>
      </c>
      <c r="C47" s="20">
        <f t="shared" si="0"/>
        <v>-8.4732210412752362E-4</v>
      </c>
      <c r="D47" s="20">
        <f t="shared" si="1"/>
        <v>-8.4768128441018993E-4</v>
      </c>
      <c r="E47" s="2">
        <f t="shared" si="2"/>
        <v>-3.591802826663059E-7</v>
      </c>
    </row>
    <row r="48" spans="1:6" x14ac:dyDescent="0.2">
      <c r="A48" s="12" t="s">
        <v>115</v>
      </c>
      <c r="B48" s="13">
        <v>4174.59</v>
      </c>
      <c r="C48" s="20">
        <f t="shared" si="0"/>
        <v>-2.7543405349105266E-3</v>
      </c>
      <c r="D48" s="20">
        <f t="shared" si="1"/>
        <v>-2.7581407103905642E-3</v>
      </c>
      <c r="E48" s="2">
        <f t="shared" si="2"/>
        <v>-3.8001754800376028E-6</v>
      </c>
    </row>
    <row r="49" spans="1:5" x14ac:dyDescent="0.2">
      <c r="A49" s="17" t="s">
        <v>116</v>
      </c>
      <c r="B49" s="18">
        <v>4113.05</v>
      </c>
      <c r="C49" s="20">
        <f t="shared" si="0"/>
        <v>-1.4741567435364922E-2</v>
      </c>
      <c r="D49" s="20">
        <f t="shared" si="1"/>
        <v>-1.4851304136611461E-2</v>
      </c>
      <c r="E49" s="2">
        <f t="shared" si="2"/>
        <v>-1.0973670124653917E-4</v>
      </c>
    </row>
    <row r="50" spans="1:5" x14ac:dyDescent="0.2">
      <c r="A50" s="12" t="s">
        <v>117</v>
      </c>
      <c r="B50" s="13">
        <v>4081.57</v>
      </c>
      <c r="C50" s="20">
        <f t="shared" si="0"/>
        <v>-7.6536876527151243E-3</v>
      </c>
      <c r="D50" s="20">
        <f t="shared" si="1"/>
        <v>-7.683127431506823E-3</v>
      </c>
      <c r="E50" s="2">
        <f t="shared" si="2"/>
        <v>-2.9439778791698692E-5</v>
      </c>
    </row>
    <row r="51" spans="1:5" x14ac:dyDescent="0.2">
      <c r="A51" s="17" t="s">
        <v>118</v>
      </c>
      <c r="B51" s="18">
        <v>4063.79</v>
      </c>
      <c r="C51" s="20">
        <f t="shared" si="0"/>
        <v>-4.3561668671614484E-3</v>
      </c>
      <c r="D51" s="20">
        <f t="shared" si="1"/>
        <v>-4.3656826068705946E-3</v>
      </c>
      <c r="E51" s="2">
        <f t="shared" si="2"/>
        <v>-9.515739709146237E-6</v>
      </c>
    </row>
    <row r="52" spans="1:5" x14ac:dyDescent="0.2">
      <c r="A52" s="12" t="s">
        <v>119</v>
      </c>
      <c r="B52" s="13">
        <v>4106.7299999999996</v>
      </c>
      <c r="C52" s="20">
        <f t="shared" si="0"/>
        <v>1.0566490886586122E-2</v>
      </c>
      <c r="D52" s="20">
        <f t="shared" si="1"/>
        <v>1.0511055683539985E-2</v>
      </c>
      <c r="E52" s="2">
        <f t="shared" si="2"/>
        <v>-5.5435203046136708E-5</v>
      </c>
    </row>
    <row r="53" spans="1:5" x14ac:dyDescent="0.2">
      <c r="A53" s="17" t="s">
        <v>120</v>
      </c>
      <c r="B53" s="18">
        <v>4122.45</v>
      </c>
      <c r="C53" s="20">
        <f t="shared" si="0"/>
        <v>3.8278630443200345E-3</v>
      </c>
      <c r="D53" s="20">
        <f t="shared" si="1"/>
        <v>3.8205554190330077E-3</v>
      </c>
      <c r="E53" s="2">
        <f t="shared" si="2"/>
        <v>-7.3076252870268171E-6</v>
      </c>
    </row>
    <row r="54" spans="1:5" x14ac:dyDescent="0.2">
      <c r="A54" s="12" t="s">
        <v>121</v>
      </c>
      <c r="B54" s="13">
        <v>4054.25</v>
      </c>
      <c r="C54" s="20">
        <f t="shared" si="0"/>
        <v>-1.654356026149495E-2</v>
      </c>
      <c r="D54" s="20">
        <f t="shared" si="1"/>
        <v>-1.6681933197953237E-2</v>
      </c>
      <c r="E54" s="2">
        <f t="shared" si="2"/>
        <v>-1.383729364582871E-4</v>
      </c>
    </row>
    <row r="55" spans="1:5" x14ac:dyDescent="0.2">
      <c r="A55" s="17" t="s">
        <v>122</v>
      </c>
      <c r="B55" s="18">
        <v>4070.66</v>
      </c>
      <c r="C55" s="20">
        <f t="shared" si="0"/>
        <v>4.0476043657888816E-3</v>
      </c>
      <c r="D55" s="20">
        <f t="shared" si="1"/>
        <v>4.0394348524568028E-3</v>
      </c>
      <c r="E55" s="2">
        <f t="shared" si="2"/>
        <v>-8.1695133320788121E-6</v>
      </c>
    </row>
    <row r="56" spans="1:5" x14ac:dyDescent="0.2">
      <c r="A56" s="12" t="s">
        <v>123</v>
      </c>
      <c r="B56" s="13">
        <v>4056.71</v>
      </c>
      <c r="C56" s="20">
        <f t="shared" si="0"/>
        <v>-3.426962703836689E-3</v>
      </c>
      <c r="D56" s="20">
        <f t="shared" si="1"/>
        <v>-3.4328481905995306E-3</v>
      </c>
      <c r="E56" s="2">
        <f t="shared" si="2"/>
        <v>-5.8854867628415838E-6</v>
      </c>
    </row>
    <row r="57" spans="1:5" x14ac:dyDescent="0.2">
      <c r="A57" s="17" t="s">
        <v>124</v>
      </c>
      <c r="B57" s="18">
        <v>4031.05</v>
      </c>
      <c r="C57" s="20">
        <f t="shared" si="0"/>
        <v>-6.3253227368975651E-3</v>
      </c>
      <c r="D57" s="20">
        <f t="shared" si="1"/>
        <v>-6.3454123510951772E-3</v>
      </c>
      <c r="E57" s="2">
        <f t="shared" si="2"/>
        <v>-2.0089614197612085E-5</v>
      </c>
    </row>
    <row r="58" spans="1:5" x14ac:dyDescent="0.2">
      <c r="A58" s="12" t="s">
        <v>125</v>
      </c>
      <c r="B58" s="13">
        <v>4058.33</v>
      </c>
      <c r="C58" s="20">
        <f t="shared" si="0"/>
        <v>6.7674675332729528E-3</v>
      </c>
      <c r="D58" s="20">
        <f t="shared" si="1"/>
        <v>6.7446710168615137E-3</v>
      </c>
      <c r="E58" s="2">
        <f t="shared" si="2"/>
        <v>-2.2796516411439059E-5</v>
      </c>
    </row>
    <row r="59" spans="1:5" x14ac:dyDescent="0.2">
      <c r="A59" s="17" t="s">
        <v>126</v>
      </c>
      <c r="B59" s="18">
        <v>4101.07</v>
      </c>
      <c r="C59" s="20">
        <f t="shared" si="0"/>
        <v>1.0531425487823709E-2</v>
      </c>
      <c r="D59" s="20">
        <f t="shared" si="1"/>
        <v>1.0476356326837036E-2</v>
      </c>
      <c r="E59" s="2">
        <f t="shared" si="2"/>
        <v>-5.5069160986673249E-5</v>
      </c>
    </row>
    <row r="60" spans="1:5" x14ac:dyDescent="0.2">
      <c r="A60" s="12" t="s">
        <v>127</v>
      </c>
      <c r="B60" s="13">
        <v>4144.62</v>
      </c>
      <c r="C60" s="20">
        <f t="shared" si="0"/>
        <v>1.0619179872569884E-2</v>
      </c>
      <c r="D60" s="20">
        <f t="shared" si="1"/>
        <v>1.0563192393945127E-2</v>
      </c>
      <c r="E60" s="2">
        <f t="shared" si="2"/>
        <v>-5.5987478624756545E-5</v>
      </c>
    </row>
    <row r="61" spans="1:5" x14ac:dyDescent="0.2">
      <c r="A61" s="17" t="s">
        <v>128</v>
      </c>
      <c r="B61" s="18">
        <v>4109.01</v>
      </c>
      <c r="C61" s="20">
        <f t="shared" si="0"/>
        <v>-8.5918612562791985E-3</v>
      </c>
      <c r="D61" s="20">
        <f t="shared" si="1"/>
        <v>-8.6289840852801277E-3</v>
      </c>
      <c r="E61" s="2">
        <f t="shared" si="2"/>
        <v>-3.7122829000929211E-5</v>
      </c>
    </row>
    <row r="62" spans="1:5" x14ac:dyDescent="0.2">
      <c r="A62" s="12" t="s">
        <v>129</v>
      </c>
      <c r="B62" s="13">
        <v>4097.1400000000003</v>
      </c>
      <c r="C62" s="20">
        <f t="shared" si="0"/>
        <v>-2.8887736948802756E-3</v>
      </c>
      <c r="D62" s="20">
        <f t="shared" si="1"/>
        <v>-2.8929542546789915E-3</v>
      </c>
      <c r="E62" s="2">
        <f t="shared" si="2"/>
        <v>-4.1805597987159583E-6</v>
      </c>
    </row>
    <row r="63" spans="1:5" x14ac:dyDescent="0.2">
      <c r="A63" s="17" t="s">
        <v>130</v>
      </c>
      <c r="B63" s="18">
        <v>4111.8999999999996</v>
      </c>
      <c r="C63" s="20">
        <f t="shared" si="0"/>
        <v>3.6025129724635008E-3</v>
      </c>
      <c r="D63" s="20">
        <f t="shared" si="1"/>
        <v>3.5960394652092033E-3</v>
      </c>
      <c r="E63" s="2">
        <f t="shared" si="2"/>
        <v>-6.4735072542974892E-6</v>
      </c>
    </row>
    <row r="64" spans="1:5" x14ac:dyDescent="0.2">
      <c r="A64" s="12" t="s">
        <v>131</v>
      </c>
      <c r="B64" s="13">
        <v>4153.6099999999997</v>
      </c>
      <c r="C64" s="20">
        <f t="shared" si="0"/>
        <v>1.0143729176293137E-2</v>
      </c>
      <c r="D64" s="20">
        <f t="shared" si="1"/>
        <v>1.0092626843755111E-2</v>
      </c>
      <c r="E64" s="2">
        <f t="shared" si="2"/>
        <v>-5.110233253802568E-5</v>
      </c>
    </row>
    <row r="65" spans="1:5" x14ac:dyDescent="0.2">
      <c r="A65" s="17" t="s">
        <v>132</v>
      </c>
      <c r="B65" s="18">
        <v>4132.68</v>
      </c>
      <c r="C65" s="20">
        <f t="shared" si="0"/>
        <v>-5.0389901796267234E-3</v>
      </c>
      <c r="D65" s="20">
        <f t="shared" si="1"/>
        <v>-5.0517287015175672E-3</v>
      </c>
      <c r="E65" s="2">
        <f t="shared" si="2"/>
        <v>-1.2738521890843894E-5</v>
      </c>
    </row>
    <row r="66" spans="1:5" x14ac:dyDescent="0.2">
      <c r="A66" s="12" t="s">
        <v>133</v>
      </c>
      <c r="B66" s="13">
        <v>4125.84</v>
      </c>
      <c r="C66" s="20">
        <f t="shared" si="0"/>
        <v>-1.6551003223090888E-3</v>
      </c>
      <c r="D66" s="20">
        <f t="shared" si="1"/>
        <v>-1.6564715140296429E-3</v>
      </c>
      <c r="E66" s="2">
        <f t="shared" si="2"/>
        <v>-1.371191720554157E-6</v>
      </c>
    </row>
    <row r="67" spans="1:5" x14ac:dyDescent="0.2">
      <c r="A67" s="17" t="s">
        <v>134</v>
      </c>
      <c r="B67" s="18">
        <v>4081.54</v>
      </c>
      <c r="C67" s="20">
        <f t="shared" si="0"/>
        <v>-1.0737207453512587E-2</v>
      </c>
      <c r="D67" s="20">
        <f t="shared" si="1"/>
        <v>-1.0795267239449648E-2</v>
      </c>
      <c r="E67" s="2">
        <f t="shared" si="2"/>
        <v>-5.8059785937061154E-5</v>
      </c>
    </row>
    <row r="68" spans="1:5" x14ac:dyDescent="0.2">
      <c r="A68" s="12" t="s">
        <v>135</v>
      </c>
      <c r="B68" s="13">
        <v>4031.06</v>
      </c>
      <c r="C68" s="20">
        <f t="shared" si="0"/>
        <v>-1.2367880750893012E-2</v>
      </c>
      <c r="D68" s="20">
        <f t="shared" si="1"/>
        <v>-1.2444999511498685E-2</v>
      </c>
      <c r="E68" s="2">
        <f t="shared" si="2"/>
        <v>-7.7118760605673214E-5</v>
      </c>
    </row>
    <row r="69" spans="1:5" x14ac:dyDescent="0.2">
      <c r="A69" s="17" t="s">
        <v>136</v>
      </c>
      <c r="B69" s="18">
        <v>4067.4</v>
      </c>
      <c r="C69" s="20">
        <f t="shared" ref="C69:C132" si="3">B69/B68-1</f>
        <v>9.0149985363652263E-3</v>
      </c>
      <c r="D69" s="20">
        <f t="shared" ref="D69:D132" si="4">LN(B69/B68)</f>
        <v>8.9746060145755296E-3</v>
      </c>
      <c r="E69" s="2">
        <f t="shared" ref="E69:E132" si="5">D69-C69</f>
        <v>-4.0392521789696725E-5</v>
      </c>
    </row>
    <row r="70" spans="1:5" x14ac:dyDescent="0.2">
      <c r="A70" s="12" t="s">
        <v>137</v>
      </c>
      <c r="B70" s="13">
        <v>4128.6499999999996</v>
      </c>
      <c r="C70" s="20">
        <f t="shared" si="3"/>
        <v>1.5058759895756335E-2</v>
      </c>
      <c r="D70" s="20">
        <f t="shared" si="4"/>
        <v>1.4946502341013758E-2</v>
      </c>
      <c r="E70" s="2">
        <f t="shared" si="5"/>
        <v>-1.1225755474257755E-4</v>
      </c>
    </row>
    <row r="71" spans="1:5" x14ac:dyDescent="0.2">
      <c r="A71" s="17" t="s">
        <v>138</v>
      </c>
      <c r="B71" s="18">
        <v>4126.24</v>
      </c>
      <c r="C71" s="20">
        <f t="shared" si="3"/>
        <v>-5.8372591525068795E-4</v>
      </c>
      <c r="D71" s="20">
        <f t="shared" si="4"/>
        <v>-5.8389634955059472E-4</v>
      </c>
      <c r="E71" s="2">
        <f t="shared" si="5"/>
        <v>-1.7043429990676751E-7</v>
      </c>
    </row>
    <row r="72" spans="1:5" x14ac:dyDescent="0.2">
      <c r="A72" s="12" t="s">
        <v>139</v>
      </c>
      <c r="B72" s="13">
        <v>4169.1400000000003</v>
      </c>
      <c r="C72" s="20">
        <f t="shared" si="3"/>
        <v>1.0396874636473097E-2</v>
      </c>
      <c r="D72" s="20">
        <f t="shared" si="4"/>
        <v>1.0343198855054246E-2</v>
      </c>
      <c r="E72" s="2">
        <f t="shared" si="5"/>
        <v>-5.3675781418851057E-5</v>
      </c>
    </row>
    <row r="73" spans="1:5" x14ac:dyDescent="0.2">
      <c r="A73" s="17" t="s">
        <v>140</v>
      </c>
      <c r="B73" s="18">
        <v>4186.37</v>
      </c>
      <c r="C73" s="20">
        <f t="shared" si="3"/>
        <v>4.1327468014984436E-3</v>
      </c>
      <c r="D73" s="20">
        <f t="shared" si="4"/>
        <v>4.1242304592966844E-3</v>
      </c>
      <c r="E73" s="2">
        <f t="shared" si="5"/>
        <v>-8.5163422017591958E-6</v>
      </c>
    </row>
    <row r="74" spans="1:5" x14ac:dyDescent="0.2">
      <c r="A74" s="12" t="s">
        <v>141</v>
      </c>
      <c r="B74" s="13">
        <v>4160.83</v>
      </c>
      <c r="C74" s="20">
        <f t="shared" si="3"/>
        <v>-6.1007507697599106E-3</v>
      </c>
      <c r="D74" s="20">
        <f t="shared" si="4"/>
        <v>-6.1194363860255256E-3</v>
      </c>
      <c r="E74" s="2">
        <f t="shared" si="5"/>
        <v>-1.8685616265614984E-5</v>
      </c>
    </row>
    <row r="75" spans="1:5" x14ac:dyDescent="0.2">
      <c r="A75" s="17" t="s">
        <v>142</v>
      </c>
      <c r="B75" s="18">
        <v>4177.76</v>
      </c>
      <c r="C75" s="20">
        <f t="shared" si="3"/>
        <v>4.0688997147204642E-3</v>
      </c>
      <c r="D75" s="20">
        <f t="shared" si="4"/>
        <v>4.0606441288001905E-3</v>
      </c>
      <c r="E75" s="2">
        <f t="shared" si="5"/>
        <v>-8.2555859202736517E-6</v>
      </c>
    </row>
    <row r="76" spans="1:5" x14ac:dyDescent="0.2">
      <c r="A76" s="12" t="s">
        <v>143</v>
      </c>
      <c r="B76" s="13">
        <v>4242.79</v>
      </c>
      <c r="C76" s="20">
        <f t="shared" si="3"/>
        <v>1.5565757726628604E-2</v>
      </c>
      <c r="D76" s="20">
        <f t="shared" si="4"/>
        <v>1.5445853980873777E-2</v>
      </c>
      <c r="E76" s="2">
        <f t="shared" si="5"/>
        <v>-1.1990374575482701E-4</v>
      </c>
    </row>
    <row r="77" spans="1:5" x14ac:dyDescent="0.2">
      <c r="A77" s="17" t="s">
        <v>144</v>
      </c>
      <c r="B77" s="18">
        <v>4242.05</v>
      </c>
      <c r="C77" s="20">
        <f t="shared" si="3"/>
        <v>-1.7441353449021424E-4</v>
      </c>
      <c r="D77" s="20">
        <f t="shared" si="4"/>
        <v>-1.7442874629951025E-4</v>
      </c>
      <c r="E77" s="2">
        <f t="shared" si="5"/>
        <v>-1.5211809296006079E-8</v>
      </c>
    </row>
    <row r="78" spans="1:5" x14ac:dyDescent="0.2">
      <c r="A78" s="12" t="s">
        <v>145</v>
      </c>
      <c r="B78" s="13">
        <v>4309.2299999999996</v>
      </c>
      <c r="C78" s="20">
        <f t="shared" si="3"/>
        <v>1.5836682735941299E-2</v>
      </c>
      <c r="D78" s="20">
        <f t="shared" si="4"/>
        <v>1.5712590896733079E-2</v>
      </c>
      <c r="E78" s="2">
        <f t="shared" si="5"/>
        <v>-1.2409183920822006E-4</v>
      </c>
    </row>
    <row r="79" spans="1:5" x14ac:dyDescent="0.2">
      <c r="A79" s="17" t="s">
        <v>146</v>
      </c>
      <c r="B79" s="18">
        <v>4184.09</v>
      </c>
      <c r="C79" s="20">
        <f t="shared" si="3"/>
        <v>-2.9039990903247048E-2</v>
      </c>
      <c r="D79" s="20">
        <f t="shared" si="4"/>
        <v>-2.9469996815207466E-2</v>
      </c>
      <c r="E79" s="2">
        <f t="shared" si="5"/>
        <v>-4.3000591196041757E-4</v>
      </c>
    </row>
    <row r="80" spans="1:5" x14ac:dyDescent="0.2">
      <c r="A80" s="12" t="s">
        <v>147</v>
      </c>
      <c r="B80" s="13">
        <v>4231.01</v>
      </c>
      <c r="C80" s="20">
        <f t="shared" si="3"/>
        <v>1.1213907922630773E-2</v>
      </c>
      <c r="D80" s="20">
        <f t="shared" si="4"/>
        <v>1.1151498195056108E-2</v>
      </c>
      <c r="E80" s="2">
        <f t="shared" si="5"/>
        <v>-6.2409727574664828E-5</v>
      </c>
    </row>
    <row r="81" spans="1:5" x14ac:dyDescent="0.2">
      <c r="A81" s="17" t="s">
        <v>148</v>
      </c>
      <c r="B81" s="18">
        <v>4236.18</v>
      </c>
      <c r="C81" s="20">
        <f t="shared" si="3"/>
        <v>1.2219304610483483E-3</v>
      </c>
      <c r="D81" s="20">
        <f t="shared" si="4"/>
        <v>1.2211845116262402E-3</v>
      </c>
      <c r="E81" s="2">
        <f t="shared" si="5"/>
        <v>-7.4594942210811852E-7</v>
      </c>
    </row>
    <row r="82" spans="1:5" x14ac:dyDescent="0.2">
      <c r="A82" s="12" t="s">
        <v>149</v>
      </c>
      <c r="B82" s="13">
        <v>4225.5600000000004</v>
      </c>
      <c r="C82" s="20">
        <f t="shared" si="3"/>
        <v>-2.506975624265273E-3</v>
      </c>
      <c r="D82" s="20">
        <f t="shared" si="4"/>
        <v>-2.5101233496032725E-3</v>
      </c>
      <c r="E82" s="2">
        <f t="shared" si="5"/>
        <v>-3.1477253379995178E-6</v>
      </c>
    </row>
    <row r="83" spans="1:5" x14ac:dyDescent="0.2">
      <c r="A83" s="17" t="s">
        <v>150</v>
      </c>
      <c r="B83" s="18">
        <v>4230.6400000000003</v>
      </c>
      <c r="C83" s="20">
        <f t="shared" si="3"/>
        <v>1.2022075180566638E-3</v>
      </c>
      <c r="D83" s="20">
        <f t="shared" si="4"/>
        <v>1.2014854452613818E-3</v>
      </c>
      <c r="E83" s="2">
        <f t="shared" si="5"/>
        <v>-7.220727952820475E-7</v>
      </c>
    </row>
    <row r="84" spans="1:5" x14ac:dyDescent="0.2">
      <c r="A84" s="12" t="s">
        <v>151</v>
      </c>
      <c r="B84" s="13">
        <v>4151.2</v>
      </c>
      <c r="C84" s="20">
        <f t="shared" si="3"/>
        <v>-1.8777300833916488E-2</v>
      </c>
      <c r="D84" s="20">
        <f t="shared" si="4"/>
        <v>-1.8955832778474114E-2</v>
      </c>
      <c r="E84" s="2">
        <f t="shared" si="5"/>
        <v>-1.7853194455762569E-4</v>
      </c>
    </row>
    <row r="85" spans="1:5" x14ac:dyDescent="0.2">
      <c r="A85" s="17" t="s">
        <v>152</v>
      </c>
      <c r="B85" s="18">
        <v>4141.2</v>
      </c>
      <c r="C85" s="20">
        <f t="shared" si="3"/>
        <v>-2.4089419926768274E-3</v>
      </c>
      <c r="D85" s="20">
        <f t="shared" si="4"/>
        <v>-2.4118481615718499E-3</v>
      </c>
      <c r="E85" s="2">
        <f t="shared" si="5"/>
        <v>-2.9061688950225359E-6</v>
      </c>
    </row>
    <row r="86" spans="1:5" x14ac:dyDescent="0.2">
      <c r="A86" s="12" t="s">
        <v>153</v>
      </c>
      <c r="B86" s="13">
        <v>4156.62</v>
      </c>
      <c r="C86" s="20">
        <f t="shared" si="3"/>
        <v>3.7235583888728385E-3</v>
      </c>
      <c r="D86" s="20">
        <f t="shared" si="4"/>
        <v>3.7166431063246361E-3</v>
      </c>
      <c r="E86" s="2">
        <f t="shared" si="5"/>
        <v>-6.9152825482024158E-6</v>
      </c>
    </row>
    <row r="87" spans="1:5" x14ac:dyDescent="0.2">
      <c r="A87" s="17" t="s">
        <v>154</v>
      </c>
      <c r="B87" s="18">
        <v>4221.68</v>
      </c>
      <c r="C87" s="20">
        <f t="shared" si="3"/>
        <v>1.565214044103147E-2</v>
      </c>
      <c r="D87" s="20">
        <f t="shared" si="4"/>
        <v>1.5530909074699869E-2</v>
      </c>
      <c r="E87" s="2">
        <f t="shared" si="5"/>
        <v>-1.2123136633160163E-4</v>
      </c>
    </row>
    <row r="88" spans="1:5" x14ac:dyDescent="0.2">
      <c r="A88" s="12" t="s">
        <v>155</v>
      </c>
      <c r="B88" s="13">
        <v>4198.12</v>
      </c>
      <c r="C88" s="20">
        <f t="shared" si="3"/>
        <v>-5.5807166815107223E-3</v>
      </c>
      <c r="D88" s="20">
        <f t="shared" si="4"/>
        <v>-5.5963470604531978E-3</v>
      </c>
      <c r="E88" s="2">
        <f t="shared" si="5"/>
        <v>-1.5630378942475473E-5</v>
      </c>
    </row>
    <row r="89" spans="1:5" x14ac:dyDescent="0.2">
      <c r="A89" s="17" t="s">
        <v>156</v>
      </c>
      <c r="B89" s="18">
        <v>4166.2700000000004</v>
      </c>
      <c r="C89" s="20">
        <f t="shared" si="3"/>
        <v>-7.5867292978760714E-3</v>
      </c>
      <c r="D89" s="20">
        <f t="shared" si="4"/>
        <v>-7.6156549220539856E-3</v>
      </c>
      <c r="E89" s="2">
        <f t="shared" si="5"/>
        <v>-2.8925624177914173E-5</v>
      </c>
    </row>
    <row r="90" spans="1:5" x14ac:dyDescent="0.2">
      <c r="A90" s="12" t="s">
        <v>157</v>
      </c>
      <c r="B90" s="13">
        <v>4144.8100000000004</v>
      </c>
      <c r="C90" s="20">
        <f t="shared" si="3"/>
        <v>-5.1508903647626836E-3</v>
      </c>
      <c r="D90" s="20">
        <f t="shared" si="4"/>
        <v>-5.1642019311587337E-3</v>
      </c>
      <c r="E90" s="2">
        <f t="shared" si="5"/>
        <v>-1.3311566396050079E-5</v>
      </c>
    </row>
    <row r="91" spans="1:5" x14ac:dyDescent="0.2">
      <c r="A91" s="17" t="s">
        <v>158</v>
      </c>
      <c r="B91" s="18">
        <v>4183.1899999999996</v>
      </c>
      <c r="C91" s="20">
        <f t="shared" si="3"/>
        <v>9.2597730655927801E-3</v>
      </c>
      <c r="D91" s="20">
        <f t="shared" si="4"/>
        <v>9.2171641973083675E-3</v>
      </c>
      <c r="E91" s="2">
        <f t="shared" si="5"/>
        <v>-4.2608868284412654E-5</v>
      </c>
    </row>
    <row r="92" spans="1:5" x14ac:dyDescent="0.2">
      <c r="A92" s="12" t="s">
        <v>159</v>
      </c>
      <c r="B92" s="13">
        <v>4198.71</v>
      </c>
      <c r="C92" s="20">
        <f t="shared" si="3"/>
        <v>3.7100872778907945E-3</v>
      </c>
      <c r="D92" s="20">
        <f t="shared" si="4"/>
        <v>3.7032218796640938E-3</v>
      </c>
      <c r="E92" s="2">
        <f t="shared" si="5"/>
        <v>-6.8653982267007432E-6</v>
      </c>
    </row>
    <row r="93" spans="1:5" x14ac:dyDescent="0.2">
      <c r="A93" s="17" t="s">
        <v>160</v>
      </c>
      <c r="B93" s="18">
        <v>4176.79</v>
      </c>
      <c r="C93" s="20">
        <f t="shared" si="3"/>
        <v>-5.2206511047441229E-3</v>
      </c>
      <c r="D93" s="20">
        <f t="shared" si="4"/>
        <v>-5.2343263201731025E-3</v>
      </c>
      <c r="E93" s="2">
        <f t="shared" si="5"/>
        <v>-1.3675215428979662E-5</v>
      </c>
    </row>
    <row r="94" spans="1:5" x14ac:dyDescent="0.2">
      <c r="A94" s="12" t="s">
        <v>161</v>
      </c>
      <c r="B94" s="13">
        <v>4200.59</v>
      </c>
      <c r="C94" s="20">
        <f t="shared" si="3"/>
        <v>5.6981557607636013E-3</v>
      </c>
      <c r="D94" s="20">
        <f t="shared" si="4"/>
        <v>5.6819826799638026E-3</v>
      </c>
      <c r="E94" s="2">
        <f t="shared" si="5"/>
        <v>-1.6173080799798678E-5</v>
      </c>
    </row>
    <row r="95" spans="1:5" x14ac:dyDescent="0.2">
      <c r="A95" s="17" t="s">
        <v>162</v>
      </c>
      <c r="B95" s="18">
        <v>4205.8900000000003</v>
      </c>
      <c r="C95" s="20">
        <f t="shared" si="3"/>
        <v>1.261727519229483E-3</v>
      </c>
      <c r="D95" s="20">
        <f t="shared" si="4"/>
        <v>1.2609322099685217E-3</v>
      </c>
      <c r="E95" s="2">
        <f t="shared" si="5"/>
        <v>-7.9530926096129002E-7</v>
      </c>
    </row>
    <row r="96" spans="1:5" x14ac:dyDescent="0.2">
      <c r="A96" s="12" t="s">
        <v>163</v>
      </c>
      <c r="B96" s="13">
        <v>4247.13</v>
      </c>
      <c r="C96" s="20">
        <f t="shared" si="3"/>
        <v>9.8052968575021993E-3</v>
      </c>
      <c r="D96" s="20">
        <f t="shared" si="4"/>
        <v>9.7575368809928315E-3</v>
      </c>
      <c r="E96" s="2">
        <f t="shared" si="5"/>
        <v>-4.7759976509367807E-5</v>
      </c>
    </row>
    <row r="97" spans="1:5" x14ac:dyDescent="0.2">
      <c r="A97" s="17" t="s">
        <v>164</v>
      </c>
      <c r="B97" s="18">
        <v>4216.6000000000004</v>
      </c>
      <c r="C97" s="20">
        <f t="shared" si="3"/>
        <v>-7.1883836849825355E-3</v>
      </c>
      <c r="D97" s="20">
        <f t="shared" si="4"/>
        <v>-7.2143446011480343E-3</v>
      </c>
      <c r="E97" s="2">
        <f t="shared" si="5"/>
        <v>-2.5960916165498719E-5</v>
      </c>
    </row>
    <row r="98" spans="1:5" x14ac:dyDescent="0.2">
      <c r="A98" s="12" t="s">
        <v>165</v>
      </c>
      <c r="B98" s="13">
        <v>4203.6400000000003</v>
      </c>
      <c r="C98" s="20">
        <f t="shared" si="3"/>
        <v>-3.0735663804961622E-3</v>
      </c>
      <c r="D98" s="20">
        <f t="shared" si="4"/>
        <v>-3.0782994864755513E-3</v>
      </c>
      <c r="E98" s="2">
        <f t="shared" si="5"/>
        <v>-4.7331059793891475E-6</v>
      </c>
    </row>
    <row r="99" spans="1:5" x14ac:dyDescent="0.2">
      <c r="A99" s="17" t="s">
        <v>166</v>
      </c>
      <c r="B99" s="18">
        <v>4188.75</v>
      </c>
      <c r="C99" s="20">
        <f t="shared" si="3"/>
        <v>-3.542168216117525E-3</v>
      </c>
      <c r="D99" s="20">
        <f t="shared" si="4"/>
        <v>-3.5484565478974043E-3</v>
      </c>
      <c r="E99" s="2">
        <f t="shared" si="5"/>
        <v>-6.2883317798793047E-6</v>
      </c>
    </row>
    <row r="100" spans="1:5" x14ac:dyDescent="0.2">
      <c r="A100" s="12" t="s">
        <v>167</v>
      </c>
      <c r="B100" s="13">
        <v>4128.3500000000004</v>
      </c>
      <c r="C100" s="20">
        <f t="shared" si="3"/>
        <v>-1.4419576245896626E-2</v>
      </c>
      <c r="D100" s="20">
        <f t="shared" si="4"/>
        <v>-1.4524548662615353E-2</v>
      </c>
      <c r="E100" s="2">
        <f t="shared" si="5"/>
        <v>-1.0497241671872728E-4</v>
      </c>
    </row>
    <row r="101" spans="1:5" x14ac:dyDescent="0.2">
      <c r="A101" s="17" t="s">
        <v>168</v>
      </c>
      <c r="B101" s="18">
        <v>4143.47</v>
      </c>
      <c r="C101" s="20">
        <f t="shared" si="3"/>
        <v>3.6624801676214958E-3</v>
      </c>
      <c r="D101" s="20">
        <f t="shared" si="4"/>
        <v>3.6557896181593878E-3</v>
      </c>
      <c r="E101" s="2">
        <f t="shared" si="5"/>
        <v>-6.6905494621079253E-6</v>
      </c>
    </row>
    <row r="102" spans="1:5" x14ac:dyDescent="0.2">
      <c r="A102" s="12" t="s">
        <v>169</v>
      </c>
      <c r="B102" s="13">
        <v>4155.6499999999996</v>
      </c>
      <c r="C102" s="20">
        <f t="shared" si="3"/>
        <v>2.939565147086709E-3</v>
      </c>
      <c r="D102" s="20">
        <f t="shared" si="4"/>
        <v>2.9352530738064706E-3</v>
      </c>
      <c r="E102" s="2">
        <f t="shared" si="5"/>
        <v>-4.3120732802384536E-6</v>
      </c>
    </row>
    <row r="103" spans="1:5" x14ac:dyDescent="0.2">
      <c r="A103" s="17" t="s">
        <v>170</v>
      </c>
      <c r="B103" s="18">
        <v>4156.97</v>
      </c>
      <c r="C103" s="20">
        <f t="shared" si="3"/>
        <v>3.1763983973642773E-4</v>
      </c>
      <c r="D103" s="20">
        <f t="shared" si="4"/>
        <v>3.1758940288275392E-4</v>
      </c>
      <c r="E103" s="2">
        <f t="shared" si="5"/>
        <v>-5.0436853673814855E-8</v>
      </c>
    </row>
    <row r="104" spans="1:5" x14ac:dyDescent="0.2">
      <c r="A104" s="12" t="s">
        <v>171</v>
      </c>
      <c r="B104" s="13">
        <v>4149.16</v>
      </c>
      <c r="C104" s="20">
        <f t="shared" si="3"/>
        <v>-1.8787722788474737E-3</v>
      </c>
      <c r="D104" s="20">
        <f t="shared" si="4"/>
        <v>-1.8805393851591336E-3</v>
      </c>
      <c r="E104" s="2">
        <f t="shared" si="5"/>
        <v>-1.767106311659954E-6</v>
      </c>
    </row>
    <row r="105" spans="1:5" x14ac:dyDescent="0.2">
      <c r="A105" s="17" t="s">
        <v>172</v>
      </c>
      <c r="B105" s="18">
        <v>4093.43</v>
      </c>
      <c r="C105" s="20">
        <f t="shared" si="3"/>
        <v>-1.3431634354905575E-2</v>
      </c>
      <c r="D105" s="20">
        <f t="shared" si="4"/>
        <v>-1.3522654709236045E-2</v>
      </c>
      <c r="E105" s="2">
        <f t="shared" si="5"/>
        <v>-9.1020354330470163E-5</v>
      </c>
    </row>
    <row r="106" spans="1:5" x14ac:dyDescent="0.2">
      <c r="A106" s="12" t="s">
        <v>173</v>
      </c>
      <c r="B106" s="13">
        <v>4076.03</v>
      </c>
      <c r="C106" s="20">
        <f t="shared" si="3"/>
        <v>-4.2507139489376122E-3</v>
      </c>
      <c r="D106" s="20">
        <f t="shared" si="4"/>
        <v>-4.2597739168118275E-3</v>
      </c>
      <c r="E106" s="2">
        <f t="shared" si="5"/>
        <v>-9.0599678742152995E-6</v>
      </c>
    </row>
    <row r="107" spans="1:5" x14ac:dyDescent="0.2">
      <c r="A107" s="17" t="s">
        <v>174</v>
      </c>
      <c r="B107" s="18">
        <v>4063.06</v>
      </c>
      <c r="C107" s="20">
        <f t="shared" si="3"/>
        <v>-3.1820177967287755E-3</v>
      </c>
      <c r="D107" s="20">
        <f t="shared" si="4"/>
        <v>-3.1870911806153677E-3</v>
      </c>
      <c r="E107" s="2">
        <f t="shared" si="5"/>
        <v>-5.0733838865921893E-6</v>
      </c>
    </row>
    <row r="108" spans="1:5" x14ac:dyDescent="0.2">
      <c r="A108" s="12" t="s">
        <v>175</v>
      </c>
      <c r="B108" s="13">
        <v>4032.15</v>
      </c>
      <c r="C108" s="20">
        <f t="shared" si="3"/>
        <v>-7.6075667108040923E-3</v>
      </c>
      <c r="D108" s="20">
        <f t="shared" si="4"/>
        <v>-7.6366518517654268E-3</v>
      </c>
      <c r="E108" s="2">
        <f t="shared" si="5"/>
        <v>-2.9085140961334494E-5</v>
      </c>
    </row>
    <row r="109" spans="1:5" x14ac:dyDescent="0.2">
      <c r="A109" s="17" t="s">
        <v>176</v>
      </c>
      <c r="B109" s="18">
        <v>4026.18</v>
      </c>
      <c r="C109" s="20">
        <f t="shared" si="3"/>
        <v>-1.480599680071526E-3</v>
      </c>
      <c r="D109" s="20">
        <f t="shared" si="4"/>
        <v>-1.4816968508920779E-3</v>
      </c>
      <c r="E109" s="2">
        <f t="shared" si="5"/>
        <v>-1.0971708205519647E-6</v>
      </c>
    </row>
    <row r="110" spans="1:5" x14ac:dyDescent="0.2">
      <c r="A110" s="12" t="s">
        <v>177</v>
      </c>
      <c r="B110" s="13">
        <v>4042.87</v>
      </c>
      <c r="C110" s="20">
        <f t="shared" si="3"/>
        <v>4.1453685627568237E-3</v>
      </c>
      <c r="D110" s="20">
        <f t="shared" si="4"/>
        <v>4.1368001936994891E-3</v>
      </c>
      <c r="E110" s="2">
        <f t="shared" si="5"/>
        <v>-8.5683690573346363E-6</v>
      </c>
    </row>
    <row r="111" spans="1:5" x14ac:dyDescent="0.2">
      <c r="A111" s="17" t="s">
        <v>178</v>
      </c>
      <c r="B111" s="18">
        <v>4118.43</v>
      </c>
      <c r="C111" s="20">
        <f t="shared" si="3"/>
        <v>1.8689693212989855E-2</v>
      </c>
      <c r="D111" s="20">
        <f t="shared" si="4"/>
        <v>1.8517186974588037E-2</v>
      </c>
      <c r="E111" s="2">
        <f t="shared" si="5"/>
        <v>-1.7250623840181847E-4</v>
      </c>
    </row>
    <row r="112" spans="1:5" x14ac:dyDescent="0.2">
      <c r="A112" s="12" t="s">
        <v>179</v>
      </c>
      <c r="B112" s="13">
        <v>4127.6899999999996</v>
      </c>
      <c r="C112" s="20">
        <f t="shared" si="3"/>
        <v>2.2484296200249165E-3</v>
      </c>
      <c r="D112" s="20">
        <f t="shared" si="4"/>
        <v>2.2459056846994264E-3</v>
      </c>
      <c r="E112" s="2">
        <f t="shared" si="5"/>
        <v>-2.523935325490171E-6</v>
      </c>
    </row>
    <row r="113" spans="1:5" x14ac:dyDescent="0.2">
      <c r="A113" s="17" t="s">
        <v>180</v>
      </c>
      <c r="B113" s="18">
        <v>4139.47</v>
      </c>
      <c r="C113" s="20">
        <f t="shared" si="3"/>
        <v>2.8538964893198848E-3</v>
      </c>
      <c r="D113" s="20">
        <f t="shared" si="4"/>
        <v>2.8498318582551702E-3</v>
      </c>
      <c r="E113" s="2">
        <f t="shared" si="5"/>
        <v>-4.0646310647146112E-6</v>
      </c>
    </row>
    <row r="114" spans="1:5" x14ac:dyDescent="0.2">
      <c r="A114" s="12" t="s">
        <v>181</v>
      </c>
      <c r="B114" s="13">
        <v>4137.51</v>
      </c>
      <c r="C114" s="20">
        <f t="shared" si="3"/>
        <v>-4.73490567633017E-4</v>
      </c>
      <c r="D114" s="20">
        <f t="shared" si="4"/>
        <v>-4.7360269968887991E-4</v>
      </c>
      <c r="E114" s="2">
        <f t="shared" si="5"/>
        <v>-1.1213205586290981E-7</v>
      </c>
    </row>
    <row r="115" spans="1:5" x14ac:dyDescent="0.2">
      <c r="A115" s="17" t="s">
        <v>182</v>
      </c>
      <c r="B115" s="18">
        <v>4066.08</v>
      </c>
      <c r="C115" s="20">
        <f t="shared" si="3"/>
        <v>-1.7264006612672911E-2</v>
      </c>
      <c r="D115" s="20">
        <f t="shared" si="4"/>
        <v>-1.7414767249476184E-2</v>
      </c>
      <c r="E115" s="2">
        <f t="shared" si="5"/>
        <v>-1.5076063680327309E-4</v>
      </c>
    </row>
    <row r="116" spans="1:5" x14ac:dyDescent="0.2">
      <c r="A116" s="12" t="s">
        <v>183</v>
      </c>
      <c r="B116" s="13">
        <v>4065.9</v>
      </c>
      <c r="C116" s="20">
        <f t="shared" si="3"/>
        <v>-4.4268681383519137E-5</v>
      </c>
      <c r="D116" s="20">
        <f t="shared" si="4"/>
        <v>-4.426966127051383E-5</v>
      </c>
      <c r="E116" s="2">
        <f t="shared" si="5"/>
        <v>-9.7988699469255761E-10</v>
      </c>
    </row>
    <row r="117" spans="1:5" x14ac:dyDescent="0.2">
      <c r="A117" s="17" t="s">
        <v>184</v>
      </c>
      <c r="B117" s="18">
        <v>4069.38</v>
      </c>
      <c r="C117" s="20">
        <f t="shared" si="3"/>
        <v>8.5589906293814799E-4</v>
      </c>
      <c r="D117" s="20">
        <f t="shared" si="4"/>
        <v>8.5553299020116216E-4</v>
      </c>
      <c r="E117" s="2">
        <f t="shared" si="5"/>
        <v>-3.6607273698583027E-7</v>
      </c>
    </row>
    <row r="118" spans="1:5" x14ac:dyDescent="0.2">
      <c r="A118" s="12" t="s">
        <v>185</v>
      </c>
      <c r="B118" s="13">
        <v>4164.2</v>
      </c>
      <c r="C118" s="20">
        <f t="shared" si="3"/>
        <v>2.3300846812045028E-2</v>
      </c>
      <c r="D118" s="20">
        <f t="shared" si="4"/>
        <v>2.3033526640812738E-2</v>
      </c>
      <c r="E118" s="2">
        <f t="shared" si="5"/>
        <v>-2.6732017123229021E-4</v>
      </c>
    </row>
    <row r="119" spans="1:5" x14ac:dyDescent="0.2">
      <c r="A119" s="17" t="s">
        <v>186</v>
      </c>
      <c r="B119" s="18">
        <v>4155.12</v>
      </c>
      <c r="C119" s="20">
        <f t="shared" si="3"/>
        <v>-2.1804908505835829E-3</v>
      </c>
      <c r="D119" s="20">
        <f t="shared" si="4"/>
        <v>-2.1828715821635221E-3</v>
      </c>
      <c r="E119" s="2">
        <f t="shared" si="5"/>
        <v>-2.3807315799391666E-6</v>
      </c>
    </row>
    <row r="120" spans="1:5" x14ac:dyDescent="0.2">
      <c r="A120" s="12" t="s">
        <v>187</v>
      </c>
      <c r="B120" s="13">
        <v>4168.75</v>
      </c>
      <c r="C120" s="20">
        <f t="shared" si="3"/>
        <v>3.2802903405919626E-3</v>
      </c>
      <c r="D120" s="20">
        <f t="shared" si="4"/>
        <v>3.2749219250035968E-3</v>
      </c>
      <c r="E120" s="2">
        <f t="shared" si="5"/>
        <v>-5.3684155883657568E-6</v>
      </c>
    </row>
    <row r="121" spans="1:5" x14ac:dyDescent="0.2">
      <c r="A121" s="17" t="s">
        <v>188</v>
      </c>
      <c r="B121" s="18">
        <v>4168.5</v>
      </c>
      <c r="C121" s="20">
        <f t="shared" si="3"/>
        <v>-5.9970014992472009E-5</v>
      </c>
      <c r="D121" s="20">
        <f t="shared" si="4"/>
        <v>-5.9971813265716448E-5</v>
      </c>
      <c r="E121" s="2">
        <f t="shared" si="5"/>
        <v>-1.7982732444381559E-9</v>
      </c>
    </row>
    <row r="122" spans="1:5" x14ac:dyDescent="0.2">
      <c r="A122" s="12" t="s">
        <v>189</v>
      </c>
      <c r="B122" s="13">
        <v>4220.97</v>
      </c>
      <c r="C122" s="20">
        <f t="shared" si="3"/>
        <v>1.2587261604893873E-2</v>
      </c>
      <c r="D122" s="20">
        <f t="shared" si="4"/>
        <v>1.2508700586033395E-2</v>
      </c>
      <c r="E122" s="2">
        <f t="shared" si="5"/>
        <v>-7.8561018860478712E-5</v>
      </c>
    </row>
    <row r="123" spans="1:5" x14ac:dyDescent="0.2">
      <c r="A123" s="17" t="s">
        <v>190</v>
      </c>
      <c r="B123" s="18">
        <v>4069.25</v>
      </c>
      <c r="C123" s="20">
        <f t="shared" si="3"/>
        <v>-3.5944344546395834E-2</v>
      </c>
      <c r="D123" s="20">
        <f t="shared" si="4"/>
        <v>-3.6606252165093972E-2</v>
      </c>
      <c r="E123" s="2">
        <f t="shared" si="5"/>
        <v>-6.6190761869813763E-4</v>
      </c>
    </row>
    <row r="124" spans="1:5" x14ac:dyDescent="0.2">
      <c r="A124" s="12" t="s">
        <v>191</v>
      </c>
      <c r="B124" s="13">
        <v>4111.03</v>
      </c>
      <c r="C124" s="20">
        <f t="shared" si="3"/>
        <v>1.0267248264422157E-2</v>
      </c>
      <c r="D124" s="20">
        <f t="shared" si="4"/>
        <v>1.0214898094171075E-2</v>
      </c>
      <c r="E124" s="2">
        <f t="shared" si="5"/>
        <v>-5.2350170251081948E-5</v>
      </c>
    </row>
    <row r="125" spans="1:5" x14ac:dyDescent="0.2">
      <c r="A125" s="17" t="s">
        <v>192</v>
      </c>
      <c r="B125" s="18">
        <v>4014.2</v>
      </c>
      <c r="C125" s="20">
        <f t="shared" si="3"/>
        <v>-2.3553707951535219E-2</v>
      </c>
      <c r="D125" s="20">
        <f t="shared" si="4"/>
        <v>-2.3835530640385981E-2</v>
      </c>
      <c r="E125" s="2">
        <f t="shared" si="5"/>
        <v>-2.8182268885076217E-4</v>
      </c>
    </row>
    <row r="126" spans="1:5" x14ac:dyDescent="0.2">
      <c r="A126" s="12" t="s">
        <v>193</v>
      </c>
      <c r="B126" s="13">
        <v>4060.66</v>
      </c>
      <c r="C126" s="20">
        <f t="shared" si="3"/>
        <v>1.1573912610233661E-2</v>
      </c>
      <c r="D126" s="20">
        <f t="shared" si="4"/>
        <v>1.1507447235039049E-2</v>
      </c>
      <c r="E126" s="2">
        <f t="shared" si="5"/>
        <v>-6.6465375194611417E-5</v>
      </c>
    </row>
    <row r="127" spans="1:5" x14ac:dyDescent="0.2">
      <c r="A127" s="17" t="s">
        <v>194</v>
      </c>
      <c r="B127" s="18">
        <v>3884.92</v>
      </c>
      <c r="C127" s="20">
        <f t="shared" si="3"/>
        <v>-4.3278678835460216E-2</v>
      </c>
      <c r="D127" s="20">
        <f t="shared" si="4"/>
        <v>-4.4243130391294481E-2</v>
      </c>
      <c r="E127" s="2">
        <f t="shared" si="5"/>
        <v>-9.6445155583426562E-4</v>
      </c>
    </row>
    <row r="128" spans="1:5" x14ac:dyDescent="0.2">
      <c r="A128" s="12" t="s">
        <v>195</v>
      </c>
      <c r="B128" s="13">
        <v>3962.04</v>
      </c>
      <c r="C128" s="20">
        <f t="shared" si="3"/>
        <v>1.9851116625310139E-2</v>
      </c>
      <c r="D128" s="20">
        <f t="shared" si="4"/>
        <v>1.9656652549551592E-2</v>
      </c>
      <c r="E128" s="2">
        <f t="shared" si="5"/>
        <v>-1.944640757585471E-4</v>
      </c>
    </row>
    <row r="129" spans="1:5" x14ac:dyDescent="0.2">
      <c r="A129" s="17" t="s">
        <v>196</v>
      </c>
      <c r="B129" s="18">
        <v>3883.76</v>
      </c>
      <c r="C129" s="20">
        <f t="shared" si="3"/>
        <v>-1.9757498662305251E-2</v>
      </c>
      <c r="D129" s="20">
        <f t="shared" si="4"/>
        <v>-1.9955287583719825E-2</v>
      </c>
      <c r="E129" s="2">
        <f t="shared" si="5"/>
        <v>-1.9778892141457394E-4</v>
      </c>
    </row>
    <row r="130" spans="1:5" x14ac:dyDescent="0.2">
      <c r="A130" s="12" t="s">
        <v>197</v>
      </c>
      <c r="B130" s="13">
        <v>3991.27</v>
      </c>
      <c r="C130" s="20">
        <f t="shared" si="3"/>
        <v>2.7681937091890374E-2</v>
      </c>
      <c r="D130" s="20">
        <f t="shared" si="4"/>
        <v>2.730571944294622E-2</v>
      </c>
      <c r="E130" s="2">
        <f t="shared" si="5"/>
        <v>-3.7621764894415349E-4</v>
      </c>
    </row>
    <row r="131" spans="1:5" x14ac:dyDescent="0.2">
      <c r="A131" s="17" t="s">
        <v>198</v>
      </c>
      <c r="B131" s="18">
        <v>3864.6</v>
      </c>
      <c r="C131" s="20">
        <f t="shared" si="3"/>
        <v>-3.1736765490683383E-2</v>
      </c>
      <c r="D131" s="20">
        <f t="shared" si="4"/>
        <v>-3.2251292197015106E-2</v>
      </c>
      <c r="E131" s="2">
        <f t="shared" si="5"/>
        <v>-5.1452670633172354E-4</v>
      </c>
    </row>
    <row r="132" spans="1:5" x14ac:dyDescent="0.2">
      <c r="A132" s="12" t="s">
        <v>199</v>
      </c>
      <c r="B132" s="13">
        <v>3841.24</v>
      </c>
      <c r="C132" s="20">
        <f t="shared" si="3"/>
        <v>-6.044610050199295E-3</v>
      </c>
      <c r="D132" s="20">
        <f t="shared" si="4"/>
        <v>-6.0629526588263389E-3</v>
      </c>
      <c r="E132" s="2">
        <f t="shared" si="5"/>
        <v>-1.8342608627043913E-5</v>
      </c>
    </row>
    <row r="133" spans="1:5" x14ac:dyDescent="0.2">
      <c r="A133" s="17" t="s">
        <v>200</v>
      </c>
      <c r="B133" s="18">
        <v>3846.2</v>
      </c>
      <c r="C133" s="20">
        <f t="shared" ref="C133:C196" si="6">B133/B132-1</f>
        <v>1.2912497006174473E-3</v>
      </c>
      <c r="D133" s="20">
        <f t="shared" ref="D133:D196" si="7">LN(B133/B132)</f>
        <v>1.2904167546731403E-3</v>
      </c>
      <c r="E133" s="2">
        <f t="shared" ref="E133:E196" si="8">D133-C133</f>
        <v>-8.3294594430691551E-7</v>
      </c>
    </row>
    <row r="134" spans="1:5" x14ac:dyDescent="0.2">
      <c r="A134" s="12" t="s">
        <v>201</v>
      </c>
      <c r="B134" s="13">
        <v>3828.67</v>
      </c>
      <c r="C134" s="20">
        <f t="shared" si="6"/>
        <v>-4.5577453070562157E-3</v>
      </c>
      <c r="D134" s="20">
        <f t="shared" si="7"/>
        <v>-4.5681634958848793E-3</v>
      </c>
      <c r="E134" s="2">
        <f t="shared" si="8"/>
        <v>-1.0418188828663529E-5</v>
      </c>
    </row>
    <row r="135" spans="1:5" x14ac:dyDescent="0.2">
      <c r="A135" s="17" t="s">
        <v>202</v>
      </c>
      <c r="B135" s="18">
        <v>3768.17</v>
      </c>
      <c r="C135" s="20">
        <f t="shared" si="6"/>
        <v>-1.5801831967759083E-2</v>
      </c>
      <c r="D135" s="20">
        <f t="shared" si="7"/>
        <v>-1.5928011929515543E-2</v>
      </c>
      <c r="E135" s="2">
        <f t="shared" si="8"/>
        <v>-1.2617996175645976E-4</v>
      </c>
    </row>
    <row r="136" spans="1:5" x14ac:dyDescent="0.2">
      <c r="A136" s="12" t="s">
        <v>203</v>
      </c>
      <c r="B136" s="13">
        <v>3772</v>
      </c>
      <c r="C136" s="20">
        <f t="shared" si="6"/>
        <v>1.0164084953703245E-3</v>
      </c>
      <c r="D136" s="20">
        <f t="shared" si="7"/>
        <v>1.015892302001534E-3</v>
      </c>
      <c r="E136" s="2">
        <f t="shared" si="8"/>
        <v>-5.1619336879048239E-7</v>
      </c>
    </row>
    <row r="137" spans="1:5" x14ac:dyDescent="0.2">
      <c r="A137" s="17" t="s">
        <v>204</v>
      </c>
      <c r="B137" s="18">
        <v>3734.58</v>
      </c>
      <c r="C137" s="20">
        <f t="shared" si="6"/>
        <v>-9.9204665959703453E-3</v>
      </c>
      <c r="D137" s="20">
        <f t="shared" si="7"/>
        <v>-9.9700023085799415E-3</v>
      </c>
      <c r="E137" s="2">
        <f t="shared" si="8"/>
        <v>-4.9535712609596189E-5</v>
      </c>
    </row>
    <row r="138" spans="1:5" x14ac:dyDescent="0.2">
      <c r="A138" s="12" t="s">
        <v>205</v>
      </c>
      <c r="B138" s="13">
        <v>3753.8</v>
      </c>
      <c r="C138" s="20">
        <f t="shared" si="6"/>
        <v>5.1464957237494779E-3</v>
      </c>
      <c r="D138" s="20">
        <f t="shared" si="7"/>
        <v>5.1332977773813331E-3</v>
      </c>
      <c r="E138" s="2">
        <f t="shared" si="8"/>
        <v>-1.3197946368144822E-5</v>
      </c>
    </row>
    <row r="139" spans="1:5" x14ac:dyDescent="0.2">
      <c r="A139" s="17" t="s">
        <v>206</v>
      </c>
      <c r="B139" s="18">
        <v>3720.05</v>
      </c>
      <c r="C139" s="20">
        <f t="shared" si="6"/>
        <v>-8.9908892322446698E-3</v>
      </c>
      <c r="D139" s="20">
        <f t="shared" si="7"/>
        <v>-9.0315511850697257E-3</v>
      </c>
      <c r="E139" s="2">
        <f t="shared" si="8"/>
        <v>-4.066195282505583E-5</v>
      </c>
    </row>
    <row r="140" spans="1:5" x14ac:dyDescent="0.2">
      <c r="A140" s="12" t="s">
        <v>207</v>
      </c>
      <c r="B140" s="13">
        <v>3780.37</v>
      </c>
      <c r="C140" s="20">
        <f t="shared" si="6"/>
        <v>1.6214835822099039E-2</v>
      </c>
      <c r="D140" s="20">
        <f t="shared" si="7"/>
        <v>1.6084779384150327E-2</v>
      </c>
      <c r="E140" s="2">
        <f t="shared" si="8"/>
        <v>-1.3005643794871194E-4</v>
      </c>
    </row>
    <row r="141" spans="1:5" x14ac:dyDescent="0.2">
      <c r="A141" s="17" t="s">
        <v>208</v>
      </c>
      <c r="B141" s="18">
        <v>3748.58</v>
      </c>
      <c r="C141" s="20">
        <f t="shared" si="6"/>
        <v>-8.4092297843861852E-3</v>
      </c>
      <c r="D141" s="20">
        <f t="shared" si="7"/>
        <v>-8.4447868357665351E-3</v>
      </c>
      <c r="E141" s="2">
        <f t="shared" si="8"/>
        <v>-3.5557051380349924E-5</v>
      </c>
    </row>
    <row r="142" spans="1:5" x14ac:dyDescent="0.2">
      <c r="A142" s="12" t="s">
        <v>209</v>
      </c>
      <c r="B142" s="13">
        <v>3737.29</v>
      </c>
      <c r="C142" s="20">
        <f t="shared" si="6"/>
        <v>-3.0118071376361577E-3</v>
      </c>
      <c r="D142" s="20">
        <f t="shared" si="7"/>
        <v>-3.0163517560566969E-3</v>
      </c>
      <c r="E142" s="2">
        <f t="shared" si="8"/>
        <v>-4.5446184205391593E-6</v>
      </c>
    </row>
    <row r="143" spans="1:5" x14ac:dyDescent="0.2">
      <c r="A143" s="17" t="s">
        <v>210</v>
      </c>
      <c r="B143" s="18">
        <v>3768.89</v>
      </c>
      <c r="C143" s="20">
        <f t="shared" si="6"/>
        <v>8.4553245801102239E-3</v>
      </c>
      <c r="D143" s="20">
        <f t="shared" si="7"/>
        <v>8.4197785514903232E-3</v>
      </c>
      <c r="E143" s="2">
        <f t="shared" si="8"/>
        <v>-3.5546028619900735E-5</v>
      </c>
    </row>
    <row r="144" spans="1:5" x14ac:dyDescent="0.2">
      <c r="A144" s="12" t="s">
        <v>211</v>
      </c>
      <c r="B144" s="13">
        <v>3720.28</v>
      </c>
      <c r="C144" s="20">
        <f t="shared" si="6"/>
        <v>-1.2897696669311065E-2</v>
      </c>
      <c r="D144" s="20">
        <f t="shared" si="7"/>
        <v>-1.2981594129055977E-2</v>
      </c>
      <c r="E144" s="2">
        <f t="shared" si="8"/>
        <v>-8.3897459744911723E-5</v>
      </c>
    </row>
    <row r="145" spans="1:5" x14ac:dyDescent="0.2">
      <c r="A145" s="17" t="s">
        <v>212</v>
      </c>
      <c r="B145" s="18">
        <v>3730.69</v>
      </c>
      <c r="C145" s="20">
        <f t="shared" si="6"/>
        <v>2.7981764813400645E-3</v>
      </c>
      <c r="D145" s="20">
        <f t="shared" si="7"/>
        <v>2.7942688732837777E-3</v>
      </c>
      <c r="E145" s="2">
        <f t="shared" si="8"/>
        <v>-3.9076080562867876E-6</v>
      </c>
    </row>
    <row r="146" spans="1:5" x14ac:dyDescent="0.2">
      <c r="A146" s="12" t="s">
        <v>213</v>
      </c>
      <c r="B146" s="13">
        <v>3782.16</v>
      </c>
      <c r="C146" s="20">
        <f t="shared" si="6"/>
        <v>1.3796375469417033E-2</v>
      </c>
      <c r="D146" s="20">
        <f t="shared" si="7"/>
        <v>1.3702071856800254E-2</v>
      </c>
      <c r="E146" s="2">
        <f t="shared" si="8"/>
        <v>-9.4303612616778928E-5</v>
      </c>
    </row>
    <row r="147" spans="1:5" x14ac:dyDescent="0.2">
      <c r="A147" s="17" t="s">
        <v>214</v>
      </c>
      <c r="B147" s="18">
        <v>3716.49</v>
      </c>
      <c r="C147" s="20">
        <f t="shared" si="6"/>
        <v>-1.7363094104955956E-2</v>
      </c>
      <c r="D147" s="20">
        <f t="shared" si="7"/>
        <v>-1.7515600523816316E-2</v>
      </c>
      <c r="E147" s="2">
        <f t="shared" si="8"/>
        <v>-1.5250641886035976E-4</v>
      </c>
    </row>
    <row r="148" spans="1:5" x14ac:dyDescent="0.2">
      <c r="A148" s="12" t="s">
        <v>215</v>
      </c>
      <c r="B148" s="13">
        <v>3725.28</v>
      </c>
      <c r="C148" s="20">
        <f t="shared" si="6"/>
        <v>2.3651348449749143E-3</v>
      </c>
      <c r="D148" s="20">
        <f t="shared" si="7"/>
        <v>2.3623423158293739E-3</v>
      </c>
      <c r="E148" s="2">
        <f t="shared" si="8"/>
        <v>-2.7925291455404774E-6</v>
      </c>
    </row>
    <row r="149" spans="1:5" x14ac:dyDescent="0.2">
      <c r="A149" s="17" t="s">
        <v>216</v>
      </c>
      <c r="B149" s="18">
        <v>3736.11</v>
      </c>
      <c r="C149" s="20">
        <f t="shared" si="6"/>
        <v>2.9071640252544828E-3</v>
      </c>
      <c r="D149" s="20">
        <f t="shared" si="7"/>
        <v>2.9029463961687293E-3</v>
      </c>
      <c r="E149" s="2">
        <f t="shared" si="8"/>
        <v>-4.2176290857534778E-6</v>
      </c>
    </row>
    <row r="150" spans="1:5" x14ac:dyDescent="0.2">
      <c r="A150" s="12" t="s">
        <v>217</v>
      </c>
      <c r="B150" s="13">
        <v>3765.34</v>
      </c>
      <c r="C150" s="20">
        <f t="shared" si="6"/>
        <v>7.8236454494113872E-3</v>
      </c>
      <c r="D150" s="20">
        <f t="shared" si="7"/>
        <v>7.7931994314828406E-3</v>
      </c>
      <c r="E150" s="2">
        <f t="shared" si="8"/>
        <v>-3.0446017928546613E-5</v>
      </c>
    </row>
    <row r="151" spans="1:5" x14ac:dyDescent="0.2">
      <c r="A151" s="17" t="s">
        <v>218</v>
      </c>
      <c r="B151" s="18">
        <v>3715.96</v>
      </c>
      <c r="C151" s="20">
        <f t="shared" si="6"/>
        <v>-1.3114353551073821E-2</v>
      </c>
      <c r="D151" s="20">
        <f t="shared" si="7"/>
        <v>-1.3201105988443892E-2</v>
      </c>
      <c r="E151" s="2">
        <f t="shared" si="8"/>
        <v>-8.675243737007142E-5</v>
      </c>
    </row>
    <row r="152" spans="1:5" x14ac:dyDescent="0.2">
      <c r="A152" s="12" t="s">
        <v>219</v>
      </c>
      <c r="B152" s="13">
        <v>3664.95</v>
      </c>
      <c r="C152" s="20">
        <f t="shared" si="6"/>
        <v>-1.3727273705852694E-2</v>
      </c>
      <c r="D152" s="20">
        <f t="shared" si="7"/>
        <v>-1.3822363950257089E-2</v>
      </c>
      <c r="E152" s="2">
        <f t="shared" si="8"/>
        <v>-9.5090244404395091E-5</v>
      </c>
    </row>
    <row r="153" spans="1:5" x14ac:dyDescent="0.2">
      <c r="A153" s="17" t="s">
        <v>220</v>
      </c>
      <c r="B153" s="18">
        <v>3688.15</v>
      </c>
      <c r="C153" s="20">
        <f t="shared" si="6"/>
        <v>6.3302364288735369E-3</v>
      </c>
      <c r="D153" s="20">
        <f t="shared" si="7"/>
        <v>6.3102846376867569E-3</v>
      </c>
      <c r="E153" s="2">
        <f t="shared" si="8"/>
        <v>-1.9951791186779977E-5</v>
      </c>
    </row>
    <row r="154" spans="1:5" x14ac:dyDescent="0.2">
      <c r="A154" s="12" t="s">
        <v>221</v>
      </c>
      <c r="B154" s="13">
        <v>3699.97</v>
      </c>
      <c r="C154" s="20">
        <f t="shared" si="6"/>
        <v>3.2048588045496818E-3</v>
      </c>
      <c r="D154" s="20">
        <f t="shared" si="7"/>
        <v>3.1997341907610043E-3</v>
      </c>
      <c r="E154" s="2">
        <f t="shared" si="8"/>
        <v>-5.1246137886774498E-6</v>
      </c>
    </row>
    <row r="155" spans="1:5" x14ac:dyDescent="0.2">
      <c r="A155" s="17" t="s">
        <v>222</v>
      </c>
      <c r="B155" s="18">
        <v>3710.48</v>
      </c>
      <c r="C155" s="20">
        <f t="shared" si="6"/>
        <v>2.8405635721371336E-3</v>
      </c>
      <c r="D155" s="20">
        <f t="shared" si="7"/>
        <v>2.8365367951750844E-3</v>
      </c>
      <c r="E155" s="2">
        <f t="shared" si="8"/>
        <v>-4.0267769620492416E-6</v>
      </c>
    </row>
    <row r="156" spans="1:5" x14ac:dyDescent="0.2">
      <c r="A156" s="12" t="s">
        <v>223</v>
      </c>
      <c r="B156" s="13">
        <v>3724.22</v>
      </c>
      <c r="C156" s="20">
        <f t="shared" si="6"/>
        <v>3.7030249455596298E-3</v>
      </c>
      <c r="D156" s="20">
        <f t="shared" si="7"/>
        <v>3.6961856275960067E-3</v>
      </c>
      <c r="E156" s="2">
        <f t="shared" si="8"/>
        <v>-6.8393179636231163E-6</v>
      </c>
    </row>
    <row r="157" spans="1:5" x14ac:dyDescent="0.2">
      <c r="A157" s="17" t="s">
        <v>224</v>
      </c>
      <c r="B157" s="18">
        <v>3698.91</v>
      </c>
      <c r="C157" s="20">
        <f t="shared" si="6"/>
        <v>-6.7960539388113306E-3</v>
      </c>
      <c r="D157" s="20">
        <f t="shared" si="7"/>
        <v>-6.8192522778982778E-3</v>
      </c>
      <c r="E157" s="2">
        <f t="shared" si="8"/>
        <v>-2.3198339086947205E-5</v>
      </c>
    </row>
    <row r="158" spans="1:5" x14ac:dyDescent="0.2">
      <c r="A158" s="12" t="s">
        <v>225</v>
      </c>
      <c r="B158" s="13">
        <v>3708.47</v>
      </c>
      <c r="C158" s="20">
        <f t="shared" si="6"/>
        <v>2.5845451768222727E-3</v>
      </c>
      <c r="D158" s="20">
        <f t="shared" si="7"/>
        <v>2.5812109836164374E-3</v>
      </c>
      <c r="E158" s="2">
        <f t="shared" si="8"/>
        <v>-3.3341932058352473E-6</v>
      </c>
    </row>
    <row r="159" spans="1:5" x14ac:dyDescent="0.2">
      <c r="A159" s="17" t="s">
        <v>226</v>
      </c>
      <c r="B159" s="18">
        <v>3720.23</v>
      </c>
      <c r="C159" s="20">
        <f t="shared" si="6"/>
        <v>3.1711190868470851E-3</v>
      </c>
      <c r="D159" s="20">
        <f t="shared" si="7"/>
        <v>3.1661016930860314E-3</v>
      </c>
      <c r="E159" s="2">
        <f t="shared" si="8"/>
        <v>-5.0173937610536665E-6</v>
      </c>
    </row>
    <row r="160" spans="1:5" x14ac:dyDescent="0.2">
      <c r="A160" s="12" t="s">
        <v>227</v>
      </c>
      <c r="B160" s="13">
        <v>3693.85</v>
      </c>
      <c r="C160" s="20">
        <f t="shared" si="6"/>
        <v>-7.0909594299277678E-3</v>
      </c>
      <c r="D160" s="20">
        <f t="shared" si="7"/>
        <v>-7.1162197669271295E-3</v>
      </c>
      <c r="E160" s="2">
        <f t="shared" si="8"/>
        <v>-2.5260336999361616E-5</v>
      </c>
    </row>
    <row r="161" spans="1:5" x14ac:dyDescent="0.2">
      <c r="A161" s="17" t="s">
        <v>228</v>
      </c>
      <c r="B161" s="18">
        <v>3767.21</v>
      </c>
      <c r="C161" s="20">
        <f t="shared" si="6"/>
        <v>1.9860037630115013E-2</v>
      </c>
      <c r="D161" s="20">
        <f t="shared" si="7"/>
        <v>1.9665399871236153E-2</v>
      </c>
      <c r="E161" s="2">
        <f t="shared" si="8"/>
        <v>-1.9463775887886003E-4</v>
      </c>
    </row>
    <row r="162" spans="1:5" x14ac:dyDescent="0.2">
      <c r="A162" s="12" t="s">
        <v>229</v>
      </c>
      <c r="B162" s="13">
        <v>3789.63</v>
      </c>
      <c r="C162" s="20">
        <f t="shared" si="6"/>
        <v>5.9513539197444398E-3</v>
      </c>
      <c r="D162" s="20">
        <f t="shared" si="7"/>
        <v>5.9337145637730513E-3</v>
      </c>
      <c r="E162" s="2">
        <f t="shared" si="8"/>
        <v>-1.76393559713885E-5</v>
      </c>
    </row>
    <row r="163" spans="1:5" x14ac:dyDescent="0.2">
      <c r="A163" s="17" t="s">
        <v>230</v>
      </c>
      <c r="B163" s="18">
        <v>3743.89</v>
      </c>
      <c r="C163" s="20">
        <f t="shared" si="6"/>
        <v>-1.206977989935698E-2</v>
      </c>
      <c r="D163" s="20">
        <f t="shared" si="7"/>
        <v>-1.2143211157002474E-2</v>
      </c>
      <c r="E163" s="2">
        <f t="shared" si="8"/>
        <v>-7.3431257645494019E-5</v>
      </c>
    </row>
    <row r="164" spans="1:5" x14ac:dyDescent="0.2">
      <c r="A164" s="12" t="s">
        <v>231</v>
      </c>
      <c r="B164" s="13">
        <v>3771.85</v>
      </c>
      <c r="C164" s="20">
        <f t="shared" si="6"/>
        <v>7.4681681352817275E-3</v>
      </c>
      <c r="D164" s="20">
        <f t="shared" si="7"/>
        <v>7.4404194366253593E-3</v>
      </c>
      <c r="E164" s="2">
        <f t="shared" si="8"/>
        <v>-2.7748698656368184E-5</v>
      </c>
    </row>
    <row r="165" spans="1:5" x14ac:dyDescent="0.2">
      <c r="A165" s="17" t="s">
        <v>232</v>
      </c>
      <c r="B165" s="18">
        <v>3734.3</v>
      </c>
      <c r="C165" s="20">
        <f t="shared" si="6"/>
        <v>-9.955326961570532E-3</v>
      </c>
      <c r="D165" s="20">
        <f t="shared" si="7"/>
        <v>-1.0005212590329307E-2</v>
      </c>
      <c r="E165" s="2">
        <f t="shared" si="8"/>
        <v>-4.988562875877546E-5</v>
      </c>
    </row>
    <row r="166" spans="1:5" x14ac:dyDescent="0.2">
      <c r="A166" s="12" t="s">
        <v>233</v>
      </c>
      <c r="B166" s="13">
        <v>3767.16</v>
      </c>
      <c r="C166" s="20">
        <f t="shared" si="6"/>
        <v>8.7995072704387667E-3</v>
      </c>
      <c r="D166" s="20">
        <f t="shared" si="7"/>
        <v>8.7610172370882478E-3</v>
      </c>
      <c r="E166" s="2">
        <f t="shared" si="8"/>
        <v>-3.8490033350518926E-5</v>
      </c>
    </row>
    <row r="167" spans="1:5" x14ac:dyDescent="0.2">
      <c r="A167" s="17" t="s">
        <v>234</v>
      </c>
      <c r="B167" s="18">
        <v>3816.2</v>
      </c>
      <c r="C167" s="20">
        <f t="shared" si="6"/>
        <v>1.3017764045063052E-2</v>
      </c>
      <c r="D167" s="20">
        <f t="shared" si="7"/>
        <v>1.2933761188865233E-2</v>
      </c>
      <c r="E167" s="2">
        <f t="shared" si="8"/>
        <v>-8.4002856197818929E-5</v>
      </c>
    </row>
    <row r="168" spans="1:5" x14ac:dyDescent="0.2">
      <c r="A168" s="12" t="s">
        <v>235</v>
      </c>
      <c r="B168" s="13">
        <v>3783.93</v>
      </c>
      <c r="C168" s="20">
        <f t="shared" si="6"/>
        <v>-8.4560557622765931E-3</v>
      </c>
      <c r="D168" s="20">
        <f t="shared" si="7"/>
        <v>-8.4920110384975305E-3</v>
      </c>
      <c r="E168" s="2">
        <f t="shared" si="8"/>
        <v>-3.5955276220937457E-5</v>
      </c>
    </row>
    <row r="169" spans="1:5" x14ac:dyDescent="0.2">
      <c r="A169" s="17" t="s">
        <v>236</v>
      </c>
      <c r="B169" s="18">
        <v>3822.84</v>
      </c>
      <c r="C169" s="20">
        <f t="shared" si="6"/>
        <v>1.0282959779911449E-2</v>
      </c>
      <c r="D169" s="20">
        <f t="shared" si="7"/>
        <v>1.023044981412048E-2</v>
      </c>
      <c r="E169" s="2">
        <f t="shared" si="8"/>
        <v>-5.2509965790968963E-5</v>
      </c>
    </row>
    <row r="170" spans="1:5" x14ac:dyDescent="0.2">
      <c r="A170" s="12" t="s">
        <v>237</v>
      </c>
      <c r="B170" s="13">
        <v>3841.47</v>
      </c>
      <c r="C170" s="20">
        <f t="shared" si="6"/>
        <v>4.8733402391938352E-3</v>
      </c>
      <c r="D170" s="20">
        <f t="shared" si="7"/>
        <v>4.8615039558976515E-3</v>
      </c>
      <c r="E170" s="2">
        <f t="shared" si="8"/>
        <v>-1.1836283296183699E-5</v>
      </c>
    </row>
    <row r="171" spans="1:5" x14ac:dyDescent="0.2">
      <c r="A171" s="17" t="s">
        <v>238</v>
      </c>
      <c r="B171" s="18">
        <v>3875.67</v>
      </c>
      <c r="C171" s="20">
        <f t="shared" si="6"/>
        <v>8.9028418808425602E-3</v>
      </c>
      <c r="D171" s="20">
        <f t="shared" si="7"/>
        <v>8.8634452394520304E-3</v>
      </c>
      <c r="E171" s="2">
        <f t="shared" si="8"/>
        <v>-3.9396641390529799E-5</v>
      </c>
    </row>
    <row r="172" spans="1:5" x14ac:dyDescent="0.2">
      <c r="A172" s="12" t="s">
        <v>239</v>
      </c>
      <c r="B172" s="13">
        <v>3955.03</v>
      </c>
      <c r="C172" s="20">
        <f t="shared" si="6"/>
        <v>2.0476459554090054E-2</v>
      </c>
      <c r="D172" s="20">
        <f t="shared" si="7"/>
        <v>2.0269635440790891E-2</v>
      </c>
      <c r="E172" s="2">
        <f t="shared" si="8"/>
        <v>-2.06824113299163E-4</v>
      </c>
    </row>
    <row r="173" spans="1:5" x14ac:dyDescent="0.2">
      <c r="A173" s="17" t="s">
        <v>240</v>
      </c>
      <c r="B173" s="18">
        <v>3944.3</v>
      </c>
      <c r="C173" s="20">
        <f t="shared" si="6"/>
        <v>-2.7130009127617205E-3</v>
      </c>
      <c r="D173" s="20">
        <f t="shared" si="7"/>
        <v>-2.7166877695450325E-3</v>
      </c>
      <c r="E173" s="2">
        <f t="shared" si="8"/>
        <v>-3.6868567833119731E-6</v>
      </c>
    </row>
    <row r="174" spans="1:5" x14ac:dyDescent="0.2">
      <c r="A174" s="12" t="s">
        <v>241</v>
      </c>
      <c r="B174" s="13">
        <v>3916.78</v>
      </c>
      <c r="C174" s="20">
        <f t="shared" si="6"/>
        <v>-6.9771569099713604E-3</v>
      </c>
      <c r="D174" s="20">
        <f t="shared" si="7"/>
        <v>-7.0016110826944802E-3</v>
      </c>
      <c r="E174" s="2">
        <f t="shared" si="8"/>
        <v>-2.4454172723119803E-5</v>
      </c>
    </row>
    <row r="175" spans="1:5" x14ac:dyDescent="0.2">
      <c r="A175" s="17" t="s">
        <v>242</v>
      </c>
      <c r="B175" s="18">
        <v>3882.85</v>
      </c>
      <c r="C175" s="20">
        <f t="shared" si="6"/>
        <v>-8.6627280572307841E-3</v>
      </c>
      <c r="D175" s="20">
        <f t="shared" si="7"/>
        <v>-8.7004675955682457E-3</v>
      </c>
      <c r="E175" s="2">
        <f t="shared" si="8"/>
        <v>-3.7739538337461589E-5</v>
      </c>
    </row>
    <row r="176" spans="1:5" x14ac:dyDescent="0.2">
      <c r="A176" s="12" t="s">
        <v>243</v>
      </c>
      <c r="B176" s="13">
        <v>3850.63</v>
      </c>
      <c r="C176" s="20">
        <f t="shared" si="6"/>
        <v>-8.2980285099861772E-3</v>
      </c>
      <c r="D176" s="20">
        <f t="shared" si="7"/>
        <v>-8.3326488017001123E-3</v>
      </c>
      <c r="E176" s="2">
        <f t="shared" si="8"/>
        <v>-3.4620291713935089E-5</v>
      </c>
    </row>
    <row r="177" spans="1:5" x14ac:dyDescent="0.2">
      <c r="A177" s="17" t="s">
        <v>244</v>
      </c>
      <c r="B177" s="18">
        <v>3848.56</v>
      </c>
      <c r="C177" s="20">
        <f t="shared" si="6"/>
        <v>-5.37574370947147E-4</v>
      </c>
      <c r="D177" s="20">
        <f t="shared" si="7"/>
        <v>-5.3771891585404285E-4</v>
      </c>
      <c r="E177" s="2">
        <f t="shared" si="8"/>
        <v>-1.4454490689585434E-7</v>
      </c>
    </row>
    <row r="178" spans="1:5" x14ac:dyDescent="0.2">
      <c r="A178" s="12" t="s">
        <v>245</v>
      </c>
      <c r="B178" s="13">
        <v>3862.32</v>
      </c>
      <c r="C178" s="20">
        <f t="shared" si="6"/>
        <v>3.5753632527490975E-3</v>
      </c>
      <c r="D178" s="20">
        <f t="shared" si="7"/>
        <v>3.5689868357062136E-3</v>
      </c>
      <c r="E178" s="2">
        <f t="shared" si="8"/>
        <v>-6.3764170428839452E-6</v>
      </c>
    </row>
    <row r="179" spans="1:5" x14ac:dyDescent="0.2">
      <c r="A179" s="17" t="s">
        <v>246</v>
      </c>
      <c r="B179" s="18">
        <v>3873.61</v>
      </c>
      <c r="C179" s="20">
        <f t="shared" si="6"/>
        <v>2.9231135690466203E-3</v>
      </c>
      <c r="D179" s="20">
        <f t="shared" si="7"/>
        <v>2.9188495799730967E-3</v>
      </c>
      <c r="E179" s="2">
        <f t="shared" si="8"/>
        <v>-4.2639890735236136E-6</v>
      </c>
    </row>
    <row r="180" spans="1:5" x14ac:dyDescent="0.2">
      <c r="A180" s="12" t="s">
        <v>247</v>
      </c>
      <c r="B180" s="13">
        <v>3907.8</v>
      </c>
      <c r="C180" s="20">
        <f t="shared" si="6"/>
        <v>8.8263919186495343E-3</v>
      </c>
      <c r="D180" s="20">
        <f t="shared" si="7"/>
        <v>8.7876670220886927E-3</v>
      </c>
      <c r="E180" s="2">
        <f t="shared" si="8"/>
        <v>-3.872489656084159E-5</v>
      </c>
    </row>
    <row r="181" spans="1:5" x14ac:dyDescent="0.2">
      <c r="A181" s="17" t="s">
        <v>248</v>
      </c>
      <c r="B181" s="18">
        <v>3909.36</v>
      </c>
      <c r="C181" s="20">
        <f t="shared" si="6"/>
        <v>3.9920159680639777E-4</v>
      </c>
      <c r="D181" s="20">
        <f t="shared" si="7"/>
        <v>3.9912193704844801E-4</v>
      </c>
      <c r="E181" s="2">
        <f t="shared" si="8"/>
        <v>-7.9659757949766905E-8</v>
      </c>
    </row>
    <row r="182" spans="1:5" x14ac:dyDescent="0.2">
      <c r="A182" s="12" t="s">
        <v>249</v>
      </c>
      <c r="B182" s="13">
        <v>3966.24</v>
      </c>
      <c r="C182" s="20">
        <f t="shared" si="6"/>
        <v>1.4549696113941746E-2</v>
      </c>
      <c r="D182" s="20">
        <f t="shared" si="7"/>
        <v>1.4444864903524457E-2</v>
      </c>
      <c r="E182" s="2">
        <f t="shared" si="8"/>
        <v>-1.0483121041728917E-4</v>
      </c>
    </row>
    <row r="183" spans="1:5" x14ac:dyDescent="0.2">
      <c r="A183" s="17" t="s">
        <v>250</v>
      </c>
      <c r="B183" s="18">
        <v>3955.41</v>
      </c>
      <c r="C183" s="20">
        <f t="shared" si="6"/>
        <v>-2.7305458066076982E-3</v>
      </c>
      <c r="D183" s="20">
        <f t="shared" si="7"/>
        <v>-2.7342805469443105E-3</v>
      </c>
      <c r="E183" s="2">
        <f t="shared" si="8"/>
        <v>-3.7347403366123563E-6</v>
      </c>
    </row>
    <row r="184" spans="1:5" x14ac:dyDescent="0.2">
      <c r="A184" s="12" t="s">
        <v>251</v>
      </c>
      <c r="B184" s="13">
        <v>4062.04</v>
      </c>
      <c r="C184" s="20">
        <f t="shared" si="6"/>
        <v>2.695801446626267E-2</v>
      </c>
      <c r="D184" s="20">
        <f t="shared" si="7"/>
        <v>2.6601048383635115E-2</v>
      </c>
      <c r="E184" s="2">
        <f t="shared" si="8"/>
        <v>-3.5696608262755433E-4</v>
      </c>
    </row>
    <row r="185" spans="1:5" x14ac:dyDescent="0.2">
      <c r="A185" s="17" t="s">
        <v>252</v>
      </c>
      <c r="B185" s="18">
        <v>4096.17</v>
      </c>
      <c r="C185" s="20">
        <f t="shared" si="6"/>
        <v>8.4021821547795028E-3</v>
      </c>
      <c r="D185" s="20">
        <f t="shared" si="7"/>
        <v>8.3670803066559097E-3</v>
      </c>
      <c r="E185" s="2">
        <f t="shared" si="8"/>
        <v>-3.5101848123593113E-5</v>
      </c>
    </row>
    <row r="186" spans="1:5" x14ac:dyDescent="0.2">
      <c r="A186" s="12" t="s">
        <v>253</v>
      </c>
      <c r="B186" s="13">
        <v>4059.84</v>
      </c>
      <c r="C186" s="20">
        <f t="shared" si="6"/>
        <v>-8.869260797281342E-3</v>
      </c>
      <c r="D186" s="20">
        <f t="shared" si="7"/>
        <v>-8.9088268120969538E-3</v>
      </c>
      <c r="E186" s="2">
        <f t="shared" si="8"/>
        <v>-3.9566014815611839E-5</v>
      </c>
    </row>
    <row r="187" spans="1:5" x14ac:dyDescent="0.2">
      <c r="A187" s="17" t="s">
        <v>254</v>
      </c>
      <c r="B187" s="18">
        <v>4016.42</v>
      </c>
      <c r="C187" s="20">
        <f t="shared" si="6"/>
        <v>-1.0695002758729477E-2</v>
      </c>
      <c r="D187" s="20">
        <f t="shared" si="7"/>
        <v>-1.0752605375643568E-2</v>
      </c>
      <c r="E187" s="2">
        <f t="shared" si="8"/>
        <v>-5.760261691409134E-5</v>
      </c>
    </row>
    <row r="188" spans="1:5" x14ac:dyDescent="0.2">
      <c r="A188" s="12" t="s">
        <v>255</v>
      </c>
      <c r="B188" s="13">
        <v>4039.19</v>
      </c>
      <c r="C188" s="20">
        <f t="shared" si="6"/>
        <v>5.669227819799616E-3</v>
      </c>
      <c r="D188" s="20">
        <f t="shared" si="7"/>
        <v>5.6532182272813853E-3</v>
      </c>
      <c r="E188" s="2">
        <f t="shared" si="8"/>
        <v>-1.6009592518230649E-5</v>
      </c>
    </row>
    <row r="189" spans="1:5" x14ac:dyDescent="0.2">
      <c r="A189" s="17" t="s">
        <v>256</v>
      </c>
      <c r="B189" s="18">
        <v>4030.79</v>
      </c>
      <c r="C189" s="20">
        <f t="shared" si="6"/>
        <v>-2.0796248752844582E-3</v>
      </c>
      <c r="D189" s="20">
        <f t="shared" si="7"/>
        <v>-2.081790297793948E-3</v>
      </c>
      <c r="E189" s="2">
        <f t="shared" si="8"/>
        <v>-2.1654225094897873E-6</v>
      </c>
    </row>
    <row r="190" spans="1:5" x14ac:dyDescent="0.2">
      <c r="A190" s="12" t="s">
        <v>257</v>
      </c>
      <c r="B190" s="13">
        <v>4061.28</v>
      </c>
      <c r="C190" s="20">
        <f t="shared" si="6"/>
        <v>7.5642740008783349E-3</v>
      </c>
      <c r="D190" s="20">
        <f t="shared" si="7"/>
        <v>7.5358083382229902E-3</v>
      </c>
      <c r="E190" s="2">
        <f t="shared" si="8"/>
        <v>-2.8465662655344746E-5</v>
      </c>
    </row>
    <row r="191" spans="1:5" x14ac:dyDescent="0.2">
      <c r="A191" s="17" t="s">
        <v>258</v>
      </c>
      <c r="B191" s="18">
        <v>4082.83</v>
      </c>
      <c r="C191" s="20">
        <f t="shared" si="6"/>
        <v>5.306208879958918E-3</v>
      </c>
      <c r="D191" s="20">
        <f t="shared" si="7"/>
        <v>5.2921805565481293E-3</v>
      </c>
      <c r="E191" s="2">
        <f t="shared" si="8"/>
        <v>-1.4028323410788732E-5</v>
      </c>
    </row>
    <row r="192" spans="1:5" x14ac:dyDescent="0.2">
      <c r="A192" s="12" t="s">
        <v>259</v>
      </c>
      <c r="B192" s="13">
        <v>4080.86</v>
      </c>
      <c r="C192" s="20">
        <f t="shared" si="6"/>
        <v>-4.8250845614439264E-4</v>
      </c>
      <c r="D192" s="20">
        <f t="shared" si="7"/>
        <v>-4.826249008080478E-4</v>
      </c>
      <c r="E192" s="2">
        <f t="shared" si="8"/>
        <v>-1.1644466365516408E-7</v>
      </c>
    </row>
    <row r="193" spans="1:5" x14ac:dyDescent="0.2">
      <c r="A193" s="17" t="s">
        <v>260</v>
      </c>
      <c r="B193" s="18">
        <v>4049.24</v>
      </c>
      <c r="C193" s="20">
        <f t="shared" si="6"/>
        <v>-7.7483667658289068E-3</v>
      </c>
      <c r="D193" s="20">
        <f t="shared" si="7"/>
        <v>-7.7785413297187063E-3</v>
      </c>
      <c r="E193" s="2">
        <f t="shared" si="8"/>
        <v>-3.0174563889799437E-5</v>
      </c>
    </row>
    <row r="194" spans="1:5" x14ac:dyDescent="0.2">
      <c r="A194" s="12" t="s">
        <v>261</v>
      </c>
      <c r="B194" s="13">
        <v>3984.26</v>
      </c>
      <c r="C194" s="20">
        <f t="shared" si="6"/>
        <v>-1.6047455818869572E-2</v>
      </c>
      <c r="D194" s="20">
        <f t="shared" si="7"/>
        <v>-1.6177610551065667E-2</v>
      </c>
      <c r="E194" s="2">
        <f t="shared" si="8"/>
        <v>-1.301547321960958E-4</v>
      </c>
    </row>
    <row r="195" spans="1:5" x14ac:dyDescent="0.2">
      <c r="A195" s="17" t="s">
        <v>262</v>
      </c>
      <c r="B195" s="18">
        <v>3964.31</v>
      </c>
      <c r="C195" s="20">
        <f t="shared" si="6"/>
        <v>-5.0072033451632469E-3</v>
      </c>
      <c r="D195" s="20">
        <f t="shared" si="7"/>
        <v>-5.0197813926275339E-3</v>
      </c>
      <c r="E195" s="2">
        <f t="shared" si="8"/>
        <v>-1.2578047464286909E-5</v>
      </c>
    </row>
    <row r="196" spans="1:5" x14ac:dyDescent="0.2">
      <c r="A196" s="12" t="s">
        <v>263</v>
      </c>
      <c r="B196" s="13">
        <v>3998.51</v>
      </c>
      <c r="C196" s="20">
        <f t="shared" si="6"/>
        <v>8.6269741770952368E-3</v>
      </c>
      <c r="D196" s="20">
        <f t="shared" si="7"/>
        <v>8.5899744800403029E-3</v>
      </c>
      <c r="E196" s="2">
        <f t="shared" si="8"/>
        <v>-3.6999697054933972E-5</v>
      </c>
    </row>
    <row r="197" spans="1:5" x14ac:dyDescent="0.2">
      <c r="A197" s="17" t="s">
        <v>264</v>
      </c>
      <c r="B197" s="18">
        <v>4008.25</v>
      </c>
      <c r="C197" s="20">
        <f t="shared" ref="C197:C255" si="9">B197/B196-1</f>
        <v>2.4359073754973704E-3</v>
      </c>
      <c r="D197" s="20">
        <f t="shared" ref="D197:D255" si="10">LN(B197/B196)</f>
        <v>2.4329453622777822E-3</v>
      </c>
      <c r="E197" s="2">
        <f t="shared" ref="E197:E255" si="11">D197-C197</f>
        <v>-2.9620132195882012E-6</v>
      </c>
    </row>
    <row r="198" spans="1:5" x14ac:dyDescent="0.2">
      <c r="A198" s="12" t="s">
        <v>265</v>
      </c>
      <c r="B198" s="13">
        <v>3961.15</v>
      </c>
      <c r="C198" s="20">
        <f t="shared" si="9"/>
        <v>-1.1750764049148654E-2</v>
      </c>
      <c r="D198" s="20">
        <f t="shared" si="10"/>
        <v>-1.1820349939107919E-2</v>
      </c>
      <c r="E198" s="2">
        <f t="shared" si="11"/>
        <v>-6.9585889959264749E-5</v>
      </c>
    </row>
    <row r="199" spans="1:5" x14ac:dyDescent="0.2">
      <c r="A199" s="17" t="s">
        <v>266</v>
      </c>
      <c r="B199" s="18">
        <v>3969.87</v>
      </c>
      <c r="C199" s="20">
        <f t="shared" si="9"/>
        <v>2.2013809121088634E-3</v>
      </c>
      <c r="D199" s="20">
        <f t="shared" si="10"/>
        <v>2.1989614233091119E-3</v>
      </c>
      <c r="E199" s="2">
        <f t="shared" si="11"/>
        <v>-2.4194887997515749E-6</v>
      </c>
    </row>
    <row r="200" spans="1:5" x14ac:dyDescent="0.2">
      <c r="A200" s="12" t="s">
        <v>267</v>
      </c>
      <c r="B200" s="13">
        <v>3986.61</v>
      </c>
      <c r="C200" s="20">
        <f t="shared" si="9"/>
        <v>4.2167627655314011E-3</v>
      </c>
      <c r="D200" s="20">
        <f t="shared" si="10"/>
        <v>4.2078971355218606E-3</v>
      </c>
      <c r="E200" s="2">
        <f t="shared" si="11"/>
        <v>-8.865630009540458E-6</v>
      </c>
    </row>
    <row r="201" spans="1:5" x14ac:dyDescent="0.2">
      <c r="A201" s="17" t="s">
        <v>268</v>
      </c>
      <c r="B201" s="18">
        <v>3953.6</v>
      </c>
      <c r="C201" s="20">
        <f t="shared" si="9"/>
        <v>-8.2802180298550132E-3</v>
      </c>
      <c r="D201" s="20">
        <f t="shared" si="10"/>
        <v>-8.3146894543242224E-3</v>
      </c>
      <c r="E201" s="2">
        <f t="shared" si="11"/>
        <v>-3.4471424469209241E-5</v>
      </c>
    </row>
    <row r="202" spans="1:5" x14ac:dyDescent="0.2">
      <c r="A202" s="12" t="s">
        <v>269</v>
      </c>
      <c r="B202" s="13">
        <v>3961.09</v>
      </c>
      <c r="C202" s="20">
        <f t="shared" si="9"/>
        <v>1.8944759206800388E-3</v>
      </c>
      <c r="D202" s="20">
        <f t="shared" si="10"/>
        <v>1.8926836644069234E-3</v>
      </c>
      <c r="E202" s="2">
        <f t="shared" si="11"/>
        <v>-1.7922562731153852E-6</v>
      </c>
    </row>
    <row r="203" spans="1:5" x14ac:dyDescent="0.2">
      <c r="A203" s="17" t="s">
        <v>270</v>
      </c>
      <c r="B203" s="18">
        <v>3964.39</v>
      </c>
      <c r="C203" s="20">
        <f t="shared" si="9"/>
        <v>8.3310401934810763E-4</v>
      </c>
      <c r="D203" s="20">
        <f t="shared" si="10"/>
        <v>8.3275718081626284E-4</v>
      </c>
      <c r="E203" s="2">
        <f t="shared" si="11"/>
        <v>-3.4683853184478992E-7</v>
      </c>
    </row>
    <row r="204" spans="1:5" x14ac:dyDescent="0.2">
      <c r="A204" s="12" t="s">
        <v>271</v>
      </c>
      <c r="B204" s="13">
        <v>3920.15</v>
      </c>
      <c r="C204" s="20">
        <f t="shared" si="9"/>
        <v>-1.1159346078463472E-2</v>
      </c>
      <c r="D204" s="20">
        <f t="shared" si="10"/>
        <v>-1.1222078721036192E-2</v>
      </c>
      <c r="E204" s="2">
        <f t="shared" si="11"/>
        <v>-6.2732642572720099E-5</v>
      </c>
    </row>
    <row r="205" spans="1:5" x14ac:dyDescent="0.2">
      <c r="A205" s="17" t="s">
        <v>272</v>
      </c>
      <c r="B205" s="18">
        <v>3936.87</v>
      </c>
      <c r="C205" s="20">
        <f t="shared" si="9"/>
        <v>4.2651429154496601E-3</v>
      </c>
      <c r="D205" s="20">
        <f t="shared" si="10"/>
        <v>4.2560729739904799E-3</v>
      </c>
      <c r="E205" s="2">
        <f t="shared" si="11"/>
        <v>-9.0699414591801503E-6</v>
      </c>
    </row>
    <row r="206" spans="1:5" x14ac:dyDescent="0.2">
      <c r="A206" s="12" t="s">
        <v>273</v>
      </c>
      <c r="B206" s="13">
        <v>3960.81</v>
      </c>
      <c r="C206" s="20">
        <f t="shared" si="9"/>
        <v>6.080972955673003E-3</v>
      </c>
      <c r="D206" s="20">
        <f t="shared" si="10"/>
        <v>6.0625584539794972E-3</v>
      </c>
      <c r="E206" s="2">
        <f t="shared" si="11"/>
        <v>-1.8414501693505766E-5</v>
      </c>
    </row>
    <row r="207" spans="1:5" x14ac:dyDescent="0.2">
      <c r="A207" s="17" t="s">
        <v>274</v>
      </c>
      <c r="B207" s="18">
        <v>4005.97</v>
      </c>
      <c r="C207" s="20">
        <f t="shared" si="9"/>
        <v>1.1401708236446595E-2</v>
      </c>
      <c r="D207" s="20">
        <f t="shared" si="10"/>
        <v>1.1337198644370486E-2</v>
      </c>
      <c r="E207" s="2">
        <f t="shared" si="11"/>
        <v>-6.4509592076109415E-5</v>
      </c>
    </row>
    <row r="208" spans="1:5" x14ac:dyDescent="0.2">
      <c r="A208" s="12" t="s">
        <v>275</v>
      </c>
      <c r="B208" s="13">
        <v>4052.91</v>
      </c>
      <c r="C208" s="20">
        <f t="shared" si="9"/>
        <v>1.171751161391632E-2</v>
      </c>
      <c r="D208" s="20">
        <f t="shared" si="10"/>
        <v>1.1649393177382806E-2</v>
      </c>
      <c r="E208" s="2">
        <f t="shared" si="11"/>
        <v>-6.8118436533514889E-5</v>
      </c>
    </row>
    <row r="209" spans="1:5" x14ac:dyDescent="0.2">
      <c r="A209" s="17" t="s">
        <v>276</v>
      </c>
      <c r="B209" s="18">
        <v>3994.55</v>
      </c>
      <c r="C209" s="20">
        <f t="shared" si="9"/>
        <v>-1.4399530214093015E-2</v>
      </c>
      <c r="D209" s="20">
        <f t="shared" si="10"/>
        <v>-1.4504209553333199E-2</v>
      </c>
      <c r="E209" s="2">
        <f t="shared" si="11"/>
        <v>-1.0467933924018444E-4</v>
      </c>
    </row>
    <row r="210" spans="1:5" x14ac:dyDescent="0.2">
      <c r="A210" s="12" t="s">
        <v>277</v>
      </c>
      <c r="B210" s="13">
        <v>3955.08</v>
      </c>
      <c r="C210" s="20">
        <f t="shared" si="9"/>
        <v>-9.880962811831151E-3</v>
      </c>
      <c r="D210" s="20">
        <f t="shared" si="10"/>
        <v>-9.9301034976918799E-3</v>
      </c>
      <c r="E210" s="2">
        <f t="shared" si="11"/>
        <v>-4.9140685860728922E-5</v>
      </c>
    </row>
    <row r="211" spans="1:5" x14ac:dyDescent="0.2">
      <c r="A211" s="17" t="s">
        <v>278</v>
      </c>
      <c r="B211" s="18">
        <v>3978.67</v>
      </c>
      <c r="C211" s="20">
        <f t="shared" si="9"/>
        <v>5.9644811230115113E-3</v>
      </c>
      <c r="D211" s="20">
        <f t="shared" si="10"/>
        <v>5.9467640194596303E-3</v>
      </c>
      <c r="E211" s="2">
        <f t="shared" si="11"/>
        <v>-1.7717103551881039E-5</v>
      </c>
    </row>
    <row r="212" spans="1:5" x14ac:dyDescent="0.2">
      <c r="A212" s="12" t="s">
        <v>279</v>
      </c>
      <c r="B212" s="13">
        <v>4001.29</v>
      </c>
      <c r="C212" s="20">
        <f t="shared" si="9"/>
        <v>5.6853169526500658E-3</v>
      </c>
      <c r="D212" s="20">
        <f t="shared" si="10"/>
        <v>5.6692165333906775E-3</v>
      </c>
      <c r="E212" s="2">
        <f t="shared" si="11"/>
        <v>-1.6100419259388286E-5</v>
      </c>
    </row>
    <row r="213" spans="1:5" x14ac:dyDescent="0.2">
      <c r="A213" s="17" t="s">
        <v>280</v>
      </c>
      <c r="B213" s="18">
        <v>4024.36</v>
      </c>
      <c r="C213" s="20">
        <f t="shared" si="9"/>
        <v>5.7656405809127786E-3</v>
      </c>
      <c r="D213" s="20">
        <f t="shared" si="10"/>
        <v>5.7490828885752975E-3</v>
      </c>
      <c r="E213" s="2">
        <f t="shared" si="11"/>
        <v>-1.6557692337481125E-5</v>
      </c>
    </row>
    <row r="214" spans="1:5" x14ac:dyDescent="0.2">
      <c r="A214" s="12" t="s">
        <v>281</v>
      </c>
      <c r="B214" s="13">
        <v>4194.26</v>
      </c>
      <c r="C214" s="20">
        <f t="shared" si="9"/>
        <v>4.2217893031438525E-2</v>
      </c>
      <c r="D214" s="20">
        <f t="shared" si="10"/>
        <v>4.1351031865498641E-2</v>
      </c>
      <c r="E214" s="2">
        <f t="shared" si="11"/>
        <v>-8.6686116593988338E-4</v>
      </c>
    </row>
    <row r="215" spans="1:5" x14ac:dyDescent="0.2">
      <c r="A215" s="17" t="s">
        <v>282</v>
      </c>
      <c r="B215" s="18">
        <v>4230.1099999999997</v>
      </c>
      <c r="C215" s="20">
        <f t="shared" si="9"/>
        <v>8.5473957265405076E-3</v>
      </c>
      <c r="D215" s="20">
        <f t="shared" si="10"/>
        <v>8.5110735661844388E-3</v>
      </c>
      <c r="E215" s="2">
        <f t="shared" si="11"/>
        <v>-3.6322160356068792E-5</v>
      </c>
    </row>
    <row r="216" spans="1:5" x14ac:dyDescent="0.2">
      <c r="A216" s="12" t="s">
        <v>283</v>
      </c>
      <c r="B216" s="13">
        <v>4283.37</v>
      </c>
      <c r="C216" s="20">
        <f t="shared" si="9"/>
        <v>1.2590689131015464E-2</v>
      </c>
      <c r="D216" s="20">
        <f t="shared" si="10"/>
        <v>1.2512085499561955E-2</v>
      </c>
      <c r="E216" s="2">
        <f t="shared" si="11"/>
        <v>-7.8603631453509279E-5</v>
      </c>
    </row>
    <row r="217" spans="1:5" x14ac:dyDescent="0.2">
      <c r="A217" s="17" t="s">
        <v>284</v>
      </c>
      <c r="B217" s="18">
        <v>4331.42</v>
      </c>
      <c r="C217" s="20">
        <f t="shared" si="9"/>
        <v>1.1217802804800892E-2</v>
      </c>
      <c r="D217" s="20">
        <f t="shared" si="10"/>
        <v>1.1155349877315108E-2</v>
      </c>
      <c r="E217" s="2">
        <f t="shared" si="11"/>
        <v>-6.2452927485783655E-5</v>
      </c>
    </row>
    <row r="218" spans="1:5" x14ac:dyDescent="0.2">
      <c r="A218" s="12" t="s">
        <v>285</v>
      </c>
      <c r="B218" s="13">
        <v>4364.1899999999996</v>
      </c>
      <c r="C218" s="20">
        <f t="shared" si="9"/>
        <v>7.5656482169819128E-3</v>
      </c>
      <c r="D218" s="20">
        <f t="shared" si="10"/>
        <v>7.5371722364892275E-3</v>
      </c>
      <c r="E218" s="2">
        <f t="shared" si="11"/>
        <v>-2.8475980492685335E-5</v>
      </c>
    </row>
    <row r="219" spans="1:5" x14ac:dyDescent="0.2">
      <c r="A219" s="17" t="s">
        <v>286</v>
      </c>
      <c r="B219" s="18">
        <v>4351.33</v>
      </c>
      <c r="C219" s="20">
        <f t="shared" si="9"/>
        <v>-2.9467094695693197E-3</v>
      </c>
      <c r="D219" s="20">
        <f t="shared" si="10"/>
        <v>-2.9510595656663517E-3</v>
      </c>
      <c r="E219" s="2">
        <f t="shared" si="11"/>
        <v>-4.3500960970319948E-6</v>
      </c>
    </row>
    <row r="220" spans="1:5" x14ac:dyDescent="0.2">
      <c r="A220" s="12" t="s">
        <v>287</v>
      </c>
      <c r="B220" s="13">
        <v>4385.1099999999997</v>
      </c>
      <c r="C220" s="20">
        <f t="shared" si="9"/>
        <v>7.7631436825063016E-3</v>
      </c>
      <c r="D220" s="20">
        <f t="shared" si="10"/>
        <v>7.7331655324222957E-3</v>
      </c>
      <c r="E220" s="2">
        <f t="shared" si="11"/>
        <v>-2.9978150084005936E-5</v>
      </c>
    </row>
    <row r="221" spans="1:5" x14ac:dyDescent="0.2">
      <c r="A221" s="17" t="s">
        <v>288</v>
      </c>
      <c r="B221" s="18">
        <v>4352.12</v>
      </c>
      <c r="C221" s="20">
        <f t="shared" si="9"/>
        <v>-7.5231864194967857E-3</v>
      </c>
      <c r="D221" s="20">
        <f t="shared" si="10"/>
        <v>-7.5516283254135393E-3</v>
      </c>
      <c r="E221" s="2">
        <f t="shared" si="11"/>
        <v>-2.8441905916753649E-5</v>
      </c>
    </row>
    <row r="222" spans="1:5" x14ac:dyDescent="0.2">
      <c r="A222" s="12" t="s">
        <v>289</v>
      </c>
      <c r="B222" s="13">
        <v>4342.08</v>
      </c>
      <c r="C222" s="20">
        <f t="shared" si="9"/>
        <v>-2.3069216841447027E-3</v>
      </c>
      <c r="D222" s="20">
        <f t="shared" si="10"/>
        <v>-2.3095867274594848E-3</v>
      </c>
      <c r="E222" s="2">
        <f t="shared" si="11"/>
        <v>-2.665043314782102E-6</v>
      </c>
    </row>
    <row r="223" spans="1:5" x14ac:dyDescent="0.2">
      <c r="A223" s="17" t="s">
        <v>290</v>
      </c>
      <c r="B223" s="18">
        <v>4322.43</v>
      </c>
      <c r="C223" s="20">
        <f t="shared" si="9"/>
        <v>-4.5254808755249565E-3</v>
      </c>
      <c r="D223" s="20">
        <f t="shared" si="10"/>
        <v>-4.5357518632557362E-3</v>
      </c>
      <c r="E223" s="2">
        <f t="shared" si="11"/>
        <v>-1.0270987730779703E-5</v>
      </c>
    </row>
    <row r="224" spans="1:5" x14ac:dyDescent="0.2">
      <c r="A224" s="12" t="s">
        <v>291</v>
      </c>
      <c r="B224" s="13">
        <v>4327.07</v>
      </c>
      <c r="C224" s="20">
        <f t="shared" si="9"/>
        <v>1.0734702470600599E-3</v>
      </c>
      <c r="D224" s="20">
        <f t="shared" si="10"/>
        <v>1.0728944898763643E-3</v>
      </c>
      <c r="E224" s="2">
        <f t="shared" si="11"/>
        <v>-5.757571836955723E-7</v>
      </c>
    </row>
    <row r="225" spans="1:5" x14ac:dyDescent="0.2">
      <c r="A225" s="17" t="s">
        <v>292</v>
      </c>
      <c r="B225" s="18">
        <v>4427.63</v>
      </c>
      <c r="C225" s="20">
        <f t="shared" si="9"/>
        <v>2.3239744214907709E-2</v>
      </c>
      <c r="D225" s="20">
        <f t="shared" si="10"/>
        <v>2.2973813584132235E-2</v>
      </c>
      <c r="E225" s="2">
        <f t="shared" si="11"/>
        <v>-2.6593063077547455E-4</v>
      </c>
    </row>
    <row r="226" spans="1:5" x14ac:dyDescent="0.2">
      <c r="A226" s="12" t="s">
        <v>293</v>
      </c>
      <c r="B226" s="13">
        <v>4327.42</v>
      </c>
      <c r="C226" s="20">
        <f t="shared" si="9"/>
        <v>-2.2632875827474308E-2</v>
      </c>
      <c r="D226" s="20">
        <f t="shared" si="10"/>
        <v>-2.2892930712884726E-2</v>
      </c>
      <c r="E226" s="2">
        <f t="shared" si="11"/>
        <v>-2.6005488541041774E-4</v>
      </c>
    </row>
    <row r="227" spans="1:5" x14ac:dyDescent="0.2">
      <c r="A227" s="17" t="s">
        <v>294</v>
      </c>
      <c r="B227" s="18">
        <v>4364.7</v>
      </c>
      <c r="C227" s="20">
        <f t="shared" si="9"/>
        <v>8.6148328565287535E-3</v>
      </c>
      <c r="D227" s="20">
        <f t="shared" si="10"/>
        <v>8.5779369339966955E-3</v>
      </c>
      <c r="E227" s="2">
        <f t="shared" si="11"/>
        <v>-3.689592253205802E-5</v>
      </c>
    </row>
    <row r="228" spans="1:5" x14ac:dyDescent="0.2">
      <c r="A228" s="12" t="s">
        <v>295</v>
      </c>
      <c r="B228" s="13">
        <v>4294.6099999999997</v>
      </c>
      <c r="C228" s="20">
        <f t="shared" si="9"/>
        <v>-1.6058377437166427E-2</v>
      </c>
      <c r="D228" s="20">
        <f t="shared" si="10"/>
        <v>-1.6188710353566772E-2</v>
      </c>
      <c r="E228" s="2">
        <f t="shared" si="11"/>
        <v>-1.3033291640034486E-4</v>
      </c>
    </row>
    <row r="229" spans="1:5" x14ac:dyDescent="0.2">
      <c r="A229" s="17" t="s">
        <v>296</v>
      </c>
      <c r="B229" s="18">
        <v>4272.18</v>
      </c>
      <c r="C229" s="20">
        <f t="shared" si="9"/>
        <v>-5.2228258212035916E-3</v>
      </c>
      <c r="D229" s="20">
        <f t="shared" si="10"/>
        <v>-5.2365124520414343E-3</v>
      </c>
      <c r="E229" s="2">
        <f t="shared" si="11"/>
        <v>-1.3686630837842634E-5</v>
      </c>
    </row>
    <row r="230" spans="1:5" x14ac:dyDescent="0.2">
      <c r="A230" s="12" t="s">
        <v>297</v>
      </c>
      <c r="B230" s="13">
        <v>4320.91</v>
      </c>
      <c r="C230" s="20">
        <f t="shared" si="9"/>
        <v>1.1406354601163793E-2</v>
      </c>
      <c r="D230" s="20">
        <f t="shared" si="10"/>
        <v>1.1341792619253785E-2</v>
      </c>
      <c r="E230" s="2">
        <f t="shared" si="11"/>
        <v>-6.4561981910007601E-5</v>
      </c>
    </row>
    <row r="231" spans="1:5" x14ac:dyDescent="0.2">
      <c r="A231" s="17" t="s">
        <v>298</v>
      </c>
      <c r="B231" s="18">
        <v>4325.1099999999997</v>
      </c>
      <c r="C231" s="20">
        <f t="shared" si="9"/>
        <v>9.7201746854236326E-4</v>
      </c>
      <c r="D231" s="20">
        <f t="shared" si="10"/>
        <v>9.7154536546631095E-4</v>
      </c>
      <c r="E231" s="2">
        <f t="shared" si="11"/>
        <v>-4.7210307605231004E-7</v>
      </c>
    </row>
    <row r="232" spans="1:5" x14ac:dyDescent="0.2">
      <c r="A232" s="12" t="s">
        <v>299</v>
      </c>
      <c r="B232" s="13">
        <v>4281.4799999999996</v>
      </c>
      <c r="C232" s="20">
        <f t="shared" si="9"/>
        <v>-1.0087604708319597E-2</v>
      </c>
      <c r="D232" s="20">
        <f t="shared" si="10"/>
        <v>-1.0138829373300696E-2</v>
      </c>
      <c r="E232" s="2">
        <f t="shared" si="11"/>
        <v>-5.1224664981098719E-5</v>
      </c>
    </row>
    <row r="233" spans="1:5" x14ac:dyDescent="0.2">
      <c r="A233" s="17" t="s">
        <v>300</v>
      </c>
      <c r="B233" s="18">
        <v>4248.83</v>
      </c>
      <c r="C233" s="20">
        <f t="shared" si="9"/>
        <v>-7.6258676906115763E-3</v>
      </c>
      <c r="D233" s="20">
        <f t="shared" si="10"/>
        <v>-7.6550932948300258E-3</v>
      </c>
      <c r="E233" s="2">
        <f t="shared" si="11"/>
        <v>-2.922560421844949E-5</v>
      </c>
    </row>
    <row r="234" spans="1:5" x14ac:dyDescent="0.2">
      <c r="A234" s="12" t="s">
        <v>301</v>
      </c>
      <c r="B234" s="13">
        <v>4280.3500000000004</v>
      </c>
      <c r="C234" s="20">
        <f t="shared" si="9"/>
        <v>7.418512861187665E-3</v>
      </c>
      <c r="D234" s="20">
        <f t="shared" si="10"/>
        <v>7.3911310328928399E-3</v>
      </c>
      <c r="E234" s="2">
        <f t="shared" si="11"/>
        <v>-2.7381828294825022E-5</v>
      </c>
    </row>
    <row r="235" spans="1:5" x14ac:dyDescent="0.2">
      <c r="A235" s="17" t="s">
        <v>302</v>
      </c>
      <c r="B235" s="18">
        <v>4248.87</v>
      </c>
      <c r="C235" s="20">
        <f t="shared" si="9"/>
        <v>-7.3545387643535465E-3</v>
      </c>
      <c r="D235" s="20">
        <f t="shared" si="10"/>
        <v>-7.3817167207849569E-3</v>
      </c>
      <c r="E235" s="2">
        <f t="shared" si="11"/>
        <v>-2.717795643141039E-5</v>
      </c>
    </row>
    <row r="236" spans="1:5" x14ac:dyDescent="0.2">
      <c r="A236" s="12" t="s">
        <v>303</v>
      </c>
      <c r="B236" s="13">
        <v>4259.88</v>
      </c>
      <c r="C236" s="20">
        <f t="shared" si="9"/>
        <v>2.5912772101759352E-3</v>
      </c>
      <c r="D236" s="20">
        <f t="shared" si="10"/>
        <v>2.5879256400356174E-3</v>
      </c>
      <c r="E236" s="2">
        <f t="shared" si="11"/>
        <v>-3.3515701403177313E-6</v>
      </c>
    </row>
    <row r="237" spans="1:5" x14ac:dyDescent="0.2">
      <c r="A237" s="17" t="s">
        <v>304</v>
      </c>
      <c r="B237" s="18">
        <v>4262.92</v>
      </c>
      <c r="C237" s="20">
        <f t="shared" si="9"/>
        <v>7.1363512587208078E-4</v>
      </c>
      <c r="D237" s="20">
        <f t="shared" si="10"/>
        <v>7.1338060940636988E-4</v>
      </c>
      <c r="E237" s="2">
        <f t="shared" si="11"/>
        <v>-2.5451646571089757E-7</v>
      </c>
    </row>
    <row r="238" spans="1:5" x14ac:dyDescent="0.2">
      <c r="A238" s="12" t="s">
        <v>305</v>
      </c>
      <c r="B238" s="13">
        <v>4238.3900000000003</v>
      </c>
      <c r="C238" s="20">
        <f t="shared" si="9"/>
        <v>-5.7542717198539872E-3</v>
      </c>
      <c r="D238" s="20">
        <f t="shared" si="10"/>
        <v>-5.770891327860378E-3</v>
      </c>
      <c r="E238" s="2">
        <f t="shared" si="11"/>
        <v>-1.6619608006390729E-5</v>
      </c>
    </row>
    <row r="239" spans="1:5" x14ac:dyDescent="0.2">
      <c r="A239" s="17" t="s">
        <v>306</v>
      </c>
      <c r="B239" s="18">
        <v>4329.46</v>
      </c>
      <c r="C239" s="20">
        <f t="shared" si="9"/>
        <v>2.1486932538062664E-2</v>
      </c>
      <c r="D239" s="20">
        <f t="shared" si="10"/>
        <v>2.1259342768911883E-2</v>
      </c>
      <c r="E239" s="2">
        <f t="shared" si="11"/>
        <v>-2.2758976915078152E-4</v>
      </c>
    </row>
    <row r="240" spans="1:5" x14ac:dyDescent="0.2">
      <c r="A240" s="12" t="s">
        <v>307</v>
      </c>
      <c r="B240" s="13">
        <v>4364.42</v>
      </c>
      <c r="C240" s="20">
        <f t="shared" si="9"/>
        <v>8.07491003496974E-3</v>
      </c>
      <c r="D240" s="20">
        <f t="shared" si="10"/>
        <v>8.0424823987987754E-3</v>
      </c>
      <c r="E240" s="2">
        <f t="shared" si="11"/>
        <v>-3.2427636170964669E-5</v>
      </c>
    </row>
    <row r="241" spans="1:5" x14ac:dyDescent="0.2">
      <c r="A241" s="17" t="s">
        <v>308</v>
      </c>
      <c r="B241" s="18">
        <v>4272.8500000000004</v>
      </c>
      <c r="C241" s="20">
        <f t="shared" si="9"/>
        <v>-2.0981023824471423E-2</v>
      </c>
      <c r="D241" s="20">
        <f t="shared" si="10"/>
        <v>-2.1204253416262798E-2</v>
      </c>
      <c r="E241" s="2">
        <f t="shared" si="11"/>
        <v>-2.2322959179137472E-4</v>
      </c>
    </row>
    <row r="242" spans="1:5" x14ac:dyDescent="0.2">
      <c r="A242" s="12" t="s">
        <v>309</v>
      </c>
      <c r="B242" s="13">
        <v>4283.66</v>
      </c>
      <c r="C242" s="20">
        <f t="shared" si="9"/>
        <v>2.5299273318744042E-3</v>
      </c>
      <c r="D242" s="20">
        <f t="shared" si="10"/>
        <v>2.5267324531283086E-3</v>
      </c>
      <c r="E242" s="2">
        <f t="shared" si="11"/>
        <v>-3.194878746095621E-6</v>
      </c>
    </row>
    <row r="243" spans="1:5" x14ac:dyDescent="0.2">
      <c r="A243" s="17" t="s">
        <v>310</v>
      </c>
      <c r="B243" s="18">
        <v>4257.78</v>
      </c>
      <c r="C243" s="20">
        <f t="shared" si="9"/>
        <v>-6.0415625890010149E-3</v>
      </c>
      <c r="D243" s="20">
        <f t="shared" si="10"/>
        <v>-6.0598866695904495E-3</v>
      </c>
      <c r="E243" s="2">
        <f t="shared" si="11"/>
        <v>-1.8324080589434549E-5</v>
      </c>
    </row>
    <row r="244" spans="1:5" x14ac:dyDescent="0.2">
      <c r="A244" s="12" t="s">
        <v>311</v>
      </c>
      <c r="B244" s="13">
        <v>4295.1000000000004</v>
      </c>
      <c r="C244" s="20">
        <f t="shared" si="9"/>
        <v>8.7651311246708108E-3</v>
      </c>
      <c r="D244" s="20">
        <f t="shared" si="10"/>
        <v>8.7269403652824196E-3</v>
      </c>
      <c r="E244" s="2">
        <f t="shared" si="11"/>
        <v>-3.8190759388391157E-5</v>
      </c>
    </row>
    <row r="245" spans="1:5" x14ac:dyDescent="0.2">
      <c r="A245" s="17" t="s">
        <v>312</v>
      </c>
      <c r="B245" s="18">
        <v>4261.8900000000003</v>
      </c>
      <c r="C245" s="20">
        <f t="shared" si="9"/>
        <v>-7.732066773765478E-3</v>
      </c>
      <c r="D245" s="20">
        <f t="shared" si="10"/>
        <v>-7.7621141880172334E-3</v>
      </c>
      <c r="E245" s="2">
        <f t="shared" si="11"/>
        <v>-3.0047414251755354E-5</v>
      </c>
    </row>
    <row r="246" spans="1:5" x14ac:dyDescent="0.2">
      <c r="A246" s="12" t="s">
        <v>313</v>
      </c>
      <c r="B246" s="13">
        <v>4257.97</v>
      </c>
      <c r="C246" s="20">
        <f t="shared" si="9"/>
        <v>-9.1977972214207782E-4</v>
      </c>
      <c r="D246" s="20">
        <f t="shared" si="10"/>
        <v>-9.2020297906603632E-4</v>
      </c>
      <c r="E246" s="2">
        <f t="shared" si="11"/>
        <v>-4.2325692395850031E-7</v>
      </c>
    </row>
    <row r="247" spans="1:5" x14ac:dyDescent="0.2">
      <c r="A247" s="17" t="s">
        <v>314</v>
      </c>
      <c r="B247" s="18">
        <v>4280.07</v>
      </c>
      <c r="C247" s="20">
        <f t="shared" si="9"/>
        <v>5.1902667233445499E-3</v>
      </c>
      <c r="D247" s="20">
        <f t="shared" si="10"/>
        <v>5.1768437149770901E-3</v>
      </c>
      <c r="E247" s="2">
        <f t="shared" si="11"/>
        <v>-1.3423008367459757E-5</v>
      </c>
    </row>
    <row r="248" spans="1:5" x14ac:dyDescent="0.2">
      <c r="A248" s="12" t="s">
        <v>315</v>
      </c>
      <c r="B248" s="13">
        <v>4318.62</v>
      </c>
      <c r="C248" s="20">
        <f t="shared" si="9"/>
        <v>9.0068620373031649E-3</v>
      </c>
      <c r="D248" s="20">
        <f t="shared" si="10"/>
        <v>8.9665421781810195E-3</v>
      </c>
      <c r="E248" s="2">
        <f t="shared" si="11"/>
        <v>-4.0319859122145418E-5</v>
      </c>
    </row>
    <row r="249" spans="1:5" x14ac:dyDescent="0.2">
      <c r="A249" s="17" t="s">
        <v>316</v>
      </c>
      <c r="B249" s="18">
        <v>4265.43</v>
      </c>
      <c r="C249" s="20">
        <f t="shared" si="9"/>
        <v>-1.2316434416549615E-2</v>
      </c>
      <c r="D249" s="20">
        <f t="shared" si="10"/>
        <v>-1.2392910283685573E-2</v>
      </c>
      <c r="E249" s="2">
        <f t="shared" si="11"/>
        <v>-7.6475867135957984E-5</v>
      </c>
    </row>
    <row r="250" spans="1:5" x14ac:dyDescent="0.2">
      <c r="A250" s="12" t="s">
        <v>317</v>
      </c>
      <c r="B250" s="13">
        <v>4250.3</v>
      </c>
      <c r="C250" s="20">
        <f t="shared" si="9"/>
        <v>-3.5471218611019539E-3</v>
      </c>
      <c r="D250" s="20">
        <f t="shared" si="10"/>
        <v>-3.5534278142564791E-3</v>
      </c>
      <c r="E250" s="2">
        <f t="shared" si="11"/>
        <v>-6.3059531545252116E-6</v>
      </c>
    </row>
    <row r="251" spans="1:5" x14ac:dyDescent="0.2">
      <c r="A251" s="17" t="s">
        <v>318</v>
      </c>
      <c r="B251" s="18">
        <v>4231.68</v>
      </c>
      <c r="C251" s="20">
        <f t="shared" si="9"/>
        <v>-4.3808672329012088E-3</v>
      </c>
      <c r="D251" s="20">
        <f t="shared" si="10"/>
        <v>-4.3904913500291002E-3</v>
      </c>
      <c r="E251" s="2">
        <f t="shared" si="11"/>
        <v>-9.6241171278913309E-6</v>
      </c>
    </row>
    <row r="252" spans="1:5" x14ac:dyDescent="0.2">
      <c r="A252" s="12" t="s">
        <v>319</v>
      </c>
      <c r="B252" s="13">
        <v>4205.07</v>
      </c>
      <c r="C252" s="20">
        <f t="shared" si="9"/>
        <v>-6.2882826678767323E-3</v>
      </c>
      <c r="D252" s="20">
        <f t="shared" si="10"/>
        <v>-6.3081371950149566E-3</v>
      </c>
      <c r="E252" s="2">
        <f t="shared" si="11"/>
        <v>-1.9854527138224269E-5</v>
      </c>
    </row>
    <row r="253" spans="1:5" x14ac:dyDescent="0.2">
      <c r="A253" s="17" t="s">
        <v>320</v>
      </c>
      <c r="B253" s="18">
        <v>4285.16</v>
      </c>
      <c r="C253" s="20">
        <f t="shared" si="9"/>
        <v>1.9046056308218429E-2</v>
      </c>
      <c r="D253" s="20">
        <f t="shared" si="10"/>
        <v>1.8866950773888582E-2</v>
      </c>
      <c r="E253" s="2">
        <f t="shared" si="11"/>
        <v>-1.7910553432984658E-4</v>
      </c>
    </row>
    <row r="254" spans="1:5" x14ac:dyDescent="0.2">
      <c r="A254" s="12" t="s">
        <v>321</v>
      </c>
      <c r="B254" s="13">
        <v>4306.58</v>
      </c>
      <c r="C254" s="20">
        <f t="shared" si="9"/>
        <v>4.998646491612968E-3</v>
      </c>
      <c r="D254" s="20">
        <f t="shared" si="10"/>
        <v>4.9861947356177119E-3</v>
      </c>
      <c r="E254" s="2">
        <f t="shared" si="11"/>
        <v>-1.2451755995256109E-5</v>
      </c>
    </row>
    <row r="255" spans="1:5" x14ac:dyDescent="0.2">
      <c r="A255" s="17" t="s">
        <v>322</v>
      </c>
      <c r="B255" s="18">
        <v>4252.49</v>
      </c>
      <c r="C255" s="20">
        <f t="shared" si="9"/>
        <v>-1.2559850275624784E-2</v>
      </c>
      <c r="D255" s="20">
        <f t="shared" si="10"/>
        <v>-1.2639391917641945E-2</v>
      </c>
      <c r="E255" s="2">
        <f t="shared" si="11"/>
        <v>-7.9541642017160602E-5</v>
      </c>
    </row>
  </sheetData>
  <mergeCells count="13">
    <mergeCell ref="A2:F2"/>
    <mergeCell ref="J12:K12"/>
    <mergeCell ref="J5:K5"/>
    <mergeCell ref="J6:K6"/>
    <mergeCell ref="J16:K16"/>
    <mergeCell ref="J14:K14"/>
    <mergeCell ref="J15:K15"/>
    <mergeCell ref="J7:K7"/>
    <mergeCell ref="I4:L4"/>
    <mergeCell ref="J13:K13"/>
    <mergeCell ref="J8:K8"/>
    <mergeCell ref="I11:L11"/>
    <mergeCell ref="J9:K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55"/>
  <sheetViews>
    <sheetView showGridLines="0" topLeftCell="O8" zoomScaleNormal="110" workbookViewId="0">
      <selection activeCell="P8" sqref="P8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5" width="13" customWidth="1"/>
    <col min="6" max="6" width="3" customWidth="1"/>
    <col min="7" max="7" width="52" customWidth="1"/>
    <col min="8" max="8" width="7.1640625" bestFit="1" customWidth="1"/>
    <col min="9" max="9" width="8" bestFit="1" customWidth="1"/>
    <col min="10" max="10" width="8.33203125" bestFit="1" customWidth="1"/>
    <col min="11" max="11" width="12.33203125" bestFit="1" customWidth="1"/>
    <col min="12" max="12" width="11.83203125" bestFit="1" customWidth="1"/>
    <col min="13" max="13" width="15.5" bestFit="1" customWidth="1"/>
    <col min="14" max="14" width="3.83203125" customWidth="1"/>
    <col min="15" max="16" width="11" bestFit="1" customWidth="1"/>
  </cols>
  <sheetData>
    <row r="2" spans="1:16" ht="16" customHeight="1" x14ac:dyDescent="0.2">
      <c r="A2" s="57" t="s">
        <v>323</v>
      </c>
      <c r="B2" s="44"/>
      <c r="C2" s="44"/>
      <c r="D2" s="44"/>
      <c r="E2" s="44"/>
      <c r="F2" s="44"/>
      <c r="G2" s="58"/>
    </row>
    <row r="3" spans="1:16" ht="29" customHeight="1" thickBot="1" x14ac:dyDescent="0.25">
      <c r="A3" s="4"/>
      <c r="B3" s="4" t="s">
        <v>30</v>
      </c>
      <c r="C3" s="4" t="s">
        <v>324</v>
      </c>
      <c r="D3" s="4" t="s">
        <v>325</v>
      </c>
      <c r="E3" s="4" t="s">
        <v>326</v>
      </c>
      <c r="I3" s="59" t="s">
        <v>327</v>
      </c>
      <c r="J3" s="44"/>
      <c r="K3" s="44"/>
      <c r="L3" s="44"/>
      <c r="M3" s="44"/>
      <c r="O3" s="59" t="s">
        <v>328</v>
      </c>
      <c r="P3" s="44"/>
    </row>
    <row r="4" spans="1:16" x14ac:dyDescent="0.2">
      <c r="B4" s="12" t="s">
        <v>35</v>
      </c>
      <c r="C4" s="29"/>
      <c r="D4" s="30">
        <f t="shared" ref="D4:D67" si="0">C4^2</f>
        <v>0</v>
      </c>
      <c r="E4" s="30">
        <f t="shared" ref="E4:E67" si="1">ABS(C4)</f>
        <v>0</v>
      </c>
      <c r="G4" s="31" t="s">
        <v>329</v>
      </c>
      <c r="I4" s="28" t="s">
        <v>330</v>
      </c>
      <c r="J4" s="28" t="s">
        <v>331</v>
      </c>
      <c r="K4" s="28" t="s">
        <v>332</v>
      </c>
      <c r="L4" s="28" t="s">
        <v>333</v>
      </c>
      <c r="M4" s="28" t="s">
        <v>334</v>
      </c>
      <c r="O4" s="28" t="s">
        <v>335</v>
      </c>
      <c r="P4" s="28" t="s">
        <v>336</v>
      </c>
    </row>
    <row r="5" spans="1:16" x14ac:dyDescent="0.2">
      <c r="B5" s="17" t="s">
        <v>39</v>
      </c>
      <c r="C5" s="32">
        <f>'1.RETURNS'!D5</f>
        <v>5.8848723437282197E-3</v>
      </c>
      <c r="D5" s="33">
        <f t="shared" si="0"/>
        <v>3.4631722501977267E-5</v>
      </c>
      <c r="E5" s="33">
        <f t="shared" si="1"/>
        <v>5.8848723437282197E-3</v>
      </c>
      <c r="G5" s="6"/>
      <c r="I5" s="34">
        <v>-0.05</v>
      </c>
      <c r="J5" s="34">
        <v>-4.4999999999999998E-2</v>
      </c>
      <c r="K5" s="35" t="s">
        <v>337</v>
      </c>
      <c r="L5" s="34">
        <f>COUNTIF($C$5:$C$255,"&lt;"&amp;J5)</f>
        <v>0</v>
      </c>
      <c r="M5" s="34">
        <f>COUNT($C$5:$C$255)*_xlfn.NORM.DIST(J5,AVERAGE($C$5:$C$255),STDEV($C$5:$C$255),TRUE)</f>
        <v>6.0340321411381957E-3</v>
      </c>
    </row>
    <row r="6" spans="1:16" ht="28" customHeight="1" x14ac:dyDescent="0.2">
      <c r="B6" s="12" t="s">
        <v>41</v>
      </c>
      <c r="C6" s="32">
        <f>'1.RETURNS'!D6</f>
        <v>-1.2113657639155101E-3</v>
      </c>
      <c r="D6" s="30">
        <f t="shared" si="0"/>
        <v>1.4674070139866073E-6</v>
      </c>
      <c r="E6" s="30">
        <f t="shared" si="1"/>
        <v>1.2113657639155101E-3</v>
      </c>
      <c r="G6" s="6" t="s">
        <v>338</v>
      </c>
      <c r="I6" s="34">
        <v>-4.4999999999999998E-2</v>
      </c>
      <c r="J6" s="34">
        <v>-0.04</v>
      </c>
      <c r="K6" s="35" t="s">
        <v>339</v>
      </c>
      <c r="L6" s="34">
        <f t="shared" ref="L6:L23" si="2">COUNTIFS($C$5:$C$255,"&gt;="&amp;I6,$C$5:$C$255,"&lt;"&amp;J6)</f>
        <v>1</v>
      </c>
      <c r="M6" s="34">
        <f t="shared" ref="M6:M23" si="3">COUNT($C$5:$C$255)*(_xlfn.NORM.DIST(J6,AVERAGE($C$5:$C$255),STDEV($C$5:$C$255),TRUE)-_xlfn.NORM.DIST(I6,AVERAGE($C$5:$C$255),STDEV($C$5:$C$255),TRUE))</f>
        <v>3.2267216988014609E-2</v>
      </c>
      <c r="O6" s="36">
        <f t="shared" ref="O6:O69" si="4">C5</f>
        <v>5.8848723437282197E-3</v>
      </c>
      <c r="P6" s="36">
        <f t="shared" ref="P6:P69" si="5">C6</f>
        <v>-1.2113657639155101E-3</v>
      </c>
    </row>
    <row r="7" spans="1:16" x14ac:dyDescent="0.2">
      <c r="B7" s="17" t="s">
        <v>44</v>
      </c>
      <c r="C7" s="32">
        <f>'1.RETURNS'!D7</f>
        <v>6.6707917430471964E-3</v>
      </c>
      <c r="D7" s="33">
        <f t="shared" si="0"/>
        <v>4.4499462479106656E-5</v>
      </c>
      <c r="E7" s="33">
        <f t="shared" si="1"/>
        <v>6.6707917430471964E-3</v>
      </c>
      <c r="G7" s="6" t="s">
        <v>340</v>
      </c>
      <c r="I7" s="34">
        <v>-0.04</v>
      </c>
      <c r="J7" s="34">
        <v>-3.5000000000000003E-2</v>
      </c>
      <c r="K7" s="35" t="s">
        <v>341</v>
      </c>
      <c r="L7" s="34">
        <f t="shared" si="2"/>
        <v>1</v>
      </c>
      <c r="M7" s="34">
        <f t="shared" si="3"/>
        <v>0.16178829512648313</v>
      </c>
      <c r="O7" s="36">
        <f t="shared" si="4"/>
        <v>-1.2113657639155101E-3</v>
      </c>
      <c r="P7" s="36">
        <f t="shared" si="5"/>
        <v>6.6707917430471964E-3</v>
      </c>
    </row>
    <row r="8" spans="1:16" ht="28" customHeight="1" x14ac:dyDescent="0.2">
      <c r="B8" s="12" t="s">
        <v>47</v>
      </c>
      <c r="C8" s="32">
        <f>'1.RETURNS'!D8</f>
        <v>1.6065486617628962E-2</v>
      </c>
      <c r="D8" s="30">
        <f t="shared" si="0"/>
        <v>2.5809986026121526E-4</v>
      </c>
      <c r="E8" s="30">
        <f t="shared" si="1"/>
        <v>1.6065486617628962E-2</v>
      </c>
      <c r="G8" s="6" t="s">
        <v>342</v>
      </c>
      <c r="I8" s="34">
        <v>-3.5000000000000003E-2</v>
      </c>
      <c r="J8" s="34">
        <v>-0.03</v>
      </c>
      <c r="K8" s="35" t="s">
        <v>343</v>
      </c>
      <c r="L8" s="34">
        <f t="shared" si="2"/>
        <v>1</v>
      </c>
      <c r="M8" s="34">
        <f t="shared" si="3"/>
        <v>0.66223845024489025</v>
      </c>
      <c r="O8" s="34">
        <f t="shared" si="4"/>
        <v>6.6707917430471964E-3</v>
      </c>
      <c r="P8" s="34">
        <f t="shared" si="5"/>
        <v>1.6065486617628962E-2</v>
      </c>
    </row>
    <row r="9" spans="1:16" x14ac:dyDescent="0.2">
      <c r="B9" s="17" t="s">
        <v>50</v>
      </c>
      <c r="C9" s="32">
        <f>'1.RETURNS'!D9</f>
        <v>-2.4548761294726756E-3</v>
      </c>
      <c r="D9" s="33">
        <f t="shared" si="0"/>
        <v>6.0264168110547443E-6</v>
      </c>
      <c r="E9" s="33">
        <f t="shared" si="1"/>
        <v>2.4548761294726756E-3</v>
      </c>
      <c r="G9" s="6" t="s">
        <v>344</v>
      </c>
      <c r="I9" s="34">
        <v>-0.03</v>
      </c>
      <c r="J9" s="34">
        <v>-2.5000000000000001E-2</v>
      </c>
      <c r="K9" s="35" t="s">
        <v>345</v>
      </c>
      <c r="L9" s="34">
        <f t="shared" si="2"/>
        <v>1</v>
      </c>
      <c r="M9" s="34">
        <f t="shared" si="3"/>
        <v>2.2131014742510353</v>
      </c>
      <c r="O9" s="34">
        <f t="shared" si="4"/>
        <v>1.6065486617628962E-2</v>
      </c>
      <c r="P9" s="34">
        <f t="shared" si="5"/>
        <v>-2.4548761294726756E-3</v>
      </c>
    </row>
    <row r="10" spans="1:16" x14ac:dyDescent="0.2">
      <c r="B10" s="12" t="s">
        <v>54</v>
      </c>
      <c r="C10" s="32">
        <f>'1.RETURNS'!D10</f>
        <v>-2.0112502237132545E-3</v>
      </c>
      <c r="D10" s="30">
        <f t="shared" si="0"/>
        <v>4.0451274623866167E-6</v>
      </c>
      <c r="E10" s="30">
        <f t="shared" si="1"/>
        <v>2.0112502237132545E-3</v>
      </c>
      <c r="G10" s="6"/>
      <c r="I10" s="34">
        <v>-2.5000000000000001E-2</v>
      </c>
      <c r="J10" s="34">
        <v>-0.02</v>
      </c>
      <c r="K10" s="35" t="s">
        <v>346</v>
      </c>
      <c r="L10" s="34">
        <f t="shared" si="2"/>
        <v>4</v>
      </c>
      <c r="M10" s="34">
        <f t="shared" si="3"/>
        <v>6.0386762177340128</v>
      </c>
      <c r="O10" s="34">
        <f t="shared" si="4"/>
        <v>-2.4548761294726756E-3</v>
      </c>
      <c r="P10" s="34">
        <f t="shared" si="5"/>
        <v>-2.0112502237132545E-3</v>
      </c>
    </row>
    <row r="11" spans="1:16" x14ac:dyDescent="0.2">
      <c r="B11" s="17" t="s">
        <v>55</v>
      </c>
      <c r="C11" s="32">
        <f>'1.RETURNS'!D11</f>
        <v>1.5334302622674396E-2</v>
      </c>
      <c r="D11" s="33">
        <f t="shared" si="0"/>
        <v>2.3514083692375884E-4</v>
      </c>
      <c r="E11" s="33">
        <f t="shared" si="1"/>
        <v>1.5334302622674396E-2</v>
      </c>
      <c r="G11" s="31" t="s">
        <v>347</v>
      </c>
      <c r="I11" s="34">
        <v>-0.02</v>
      </c>
      <c r="J11" s="34">
        <v>-1.4999999999999999E-2</v>
      </c>
      <c r="K11" s="35" t="s">
        <v>348</v>
      </c>
      <c r="L11" s="34">
        <f t="shared" si="2"/>
        <v>11</v>
      </c>
      <c r="M11" s="34">
        <f t="shared" si="3"/>
        <v>13.454414629225246</v>
      </c>
      <c r="O11" s="34">
        <f t="shared" si="4"/>
        <v>-2.0112502237132545E-3</v>
      </c>
      <c r="P11" s="34">
        <f t="shared" si="5"/>
        <v>1.5334302622674396E-2</v>
      </c>
    </row>
    <row r="12" spans="1:16" x14ac:dyDescent="0.2">
      <c r="B12" s="12" t="s">
        <v>58</v>
      </c>
      <c r="C12" s="32">
        <f>'1.RETURNS'!D12</f>
        <v>8.8748844487809755E-3</v>
      </c>
      <c r="D12" s="30">
        <f t="shared" si="0"/>
        <v>7.8763573979214396E-5</v>
      </c>
      <c r="E12" s="30">
        <f t="shared" si="1"/>
        <v>8.8748844487809755E-3</v>
      </c>
      <c r="G12" s="6"/>
      <c r="I12" s="34">
        <v>-1.4999999999999999E-2</v>
      </c>
      <c r="J12" s="34">
        <v>-0.01</v>
      </c>
      <c r="K12" s="35" t="s">
        <v>349</v>
      </c>
      <c r="L12" s="34">
        <f t="shared" si="2"/>
        <v>21</v>
      </c>
      <c r="M12" s="34">
        <f t="shared" si="3"/>
        <v>24.479045506404049</v>
      </c>
      <c r="O12" s="34">
        <f t="shared" si="4"/>
        <v>1.5334302622674396E-2</v>
      </c>
      <c r="P12" s="34">
        <f t="shared" si="5"/>
        <v>8.8748844487809755E-3</v>
      </c>
    </row>
    <row r="13" spans="1:16" x14ac:dyDescent="0.2">
      <c r="B13" s="17" t="s">
        <v>60</v>
      </c>
      <c r="C13" s="32">
        <f>'1.RETURNS'!D13</f>
        <v>-4.8215906453202137E-3</v>
      </c>
      <c r="D13" s="33">
        <f t="shared" si="0"/>
        <v>2.3247736351039394E-5</v>
      </c>
      <c r="E13" s="33">
        <f t="shared" si="1"/>
        <v>4.8215906453202137E-3</v>
      </c>
      <c r="G13" s="37" t="s">
        <v>350</v>
      </c>
      <c r="I13" s="34">
        <v>-0.01</v>
      </c>
      <c r="J13" s="34">
        <v>-5.0000000000000001E-3</v>
      </c>
      <c r="K13" s="35" t="s">
        <v>351</v>
      </c>
      <c r="L13" s="34">
        <f t="shared" si="2"/>
        <v>41</v>
      </c>
      <c r="M13" s="34">
        <f t="shared" si="3"/>
        <v>36.370483553474408</v>
      </c>
      <c r="O13" s="34">
        <f t="shared" si="4"/>
        <v>8.8748844487809755E-3</v>
      </c>
      <c r="P13" s="34">
        <f t="shared" si="5"/>
        <v>-4.8215906453202137E-3</v>
      </c>
    </row>
    <row r="14" spans="1:16" x14ac:dyDescent="0.2">
      <c r="B14" s="12" t="s">
        <v>63</v>
      </c>
      <c r="C14" s="32">
        <f>'1.RETURNS'!D14</f>
        <v>5.5124296395039872E-3</v>
      </c>
      <c r="D14" s="30">
        <f t="shared" si="0"/>
        <v>3.0386880530482058E-5</v>
      </c>
      <c r="E14" s="30">
        <f t="shared" si="1"/>
        <v>5.5124296395039872E-3</v>
      </c>
      <c r="G14" s="6" t="s">
        <v>352</v>
      </c>
      <c r="I14" s="34">
        <v>-5.0000000000000001E-3</v>
      </c>
      <c r="J14" s="34">
        <v>0</v>
      </c>
      <c r="K14" s="35" t="s">
        <v>353</v>
      </c>
      <c r="L14" s="34">
        <f t="shared" si="2"/>
        <v>41</v>
      </c>
      <c r="M14" s="34">
        <f t="shared" si="3"/>
        <v>44.130709297467526</v>
      </c>
      <c r="O14" s="34">
        <f t="shared" si="4"/>
        <v>-4.8215906453202137E-3</v>
      </c>
      <c r="P14" s="34">
        <f t="shared" si="5"/>
        <v>5.5124296395039872E-3</v>
      </c>
    </row>
    <row r="15" spans="1:16" x14ac:dyDescent="0.2">
      <c r="B15" s="17" t="s">
        <v>65</v>
      </c>
      <c r="C15" s="32">
        <f>'1.RETURNS'!D15</f>
        <v>-4.2904899245061814E-3</v>
      </c>
      <c r="D15" s="33">
        <f t="shared" si="0"/>
        <v>1.8408303792289058E-5</v>
      </c>
      <c r="E15" s="33">
        <f t="shared" si="1"/>
        <v>4.2904899245061814E-3</v>
      </c>
      <c r="G15" s="6" t="s">
        <v>354</v>
      </c>
      <c r="I15" s="34">
        <v>0</v>
      </c>
      <c r="J15" s="34">
        <v>5.0000000000000001E-3</v>
      </c>
      <c r="K15" s="35" t="s">
        <v>355</v>
      </c>
      <c r="L15" s="34">
        <f t="shared" si="2"/>
        <v>53</v>
      </c>
      <c r="M15" s="34">
        <f t="shared" si="3"/>
        <v>43.729654984770477</v>
      </c>
      <c r="O15" s="34">
        <f t="shared" si="4"/>
        <v>5.5124296395039872E-3</v>
      </c>
      <c r="P15" s="34">
        <f t="shared" si="5"/>
        <v>-4.2904899245061814E-3</v>
      </c>
    </row>
    <row r="16" spans="1:16" x14ac:dyDescent="0.2">
      <c r="B16" s="12" t="s">
        <v>67</v>
      </c>
      <c r="C16" s="32">
        <f>'1.RETURNS'!D16</f>
        <v>-4.2128306139583025E-3</v>
      </c>
      <c r="D16" s="30">
        <f t="shared" si="0"/>
        <v>1.7747941781904288E-5</v>
      </c>
      <c r="E16" s="30">
        <f t="shared" si="1"/>
        <v>4.2128306139583025E-3</v>
      </c>
      <c r="G16" s="6" t="s">
        <v>356</v>
      </c>
      <c r="I16" s="34">
        <v>5.0000000000000001E-3</v>
      </c>
      <c r="J16" s="34">
        <v>0.01</v>
      </c>
      <c r="K16" s="35" t="s">
        <v>357</v>
      </c>
      <c r="L16" s="34">
        <f t="shared" si="2"/>
        <v>38</v>
      </c>
      <c r="M16" s="34">
        <f t="shared" si="3"/>
        <v>35.387853194455523</v>
      </c>
      <c r="O16" s="34">
        <f t="shared" si="4"/>
        <v>-4.2904899245061814E-3</v>
      </c>
      <c r="P16" s="34">
        <f t="shared" si="5"/>
        <v>-4.2128306139583025E-3</v>
      </c>
    </row>
    <row r="17" spans="2:16" x14ac:dyDescent="0.2">
      <c r="B17" s="17" t="s">
        <v>69</v>
      </c>
      <c r="C17" s="32">
        <f>'1.RETURNS'!D17</f>
        <v>2.5967417712656309E-3</v>
      </c>
      <c r="D17" s="33">
        <f t="shared" si="0"/>
        <v>6.7430678266357658E-6</v>
      </c>
      <c r="E17" s="33">
        <f t="shared" si="1"/>
        <v>2.5967417712656309E-3</v>
      </c>
      <c r="G17" s="6" t="s">
        <v>358</v>
      </c>
      <c r="I17" s="34">
        <v>0.01</v>
      </c>
      <c r="J17" s="34">
        <v>1.4999999999999999E-2</v>
      </c>
      <c r="K17" s="35" t="s">
        <v>359</v>
      </c>
      <c r="L17" s="34">
        <f t="shared" si="2"/>
        <v>19</v>
      </c>
      <c r="M17" s="34">
        <f t="shared" si="3"/>
        <v>23.386690229017955</v>
      </c>
      <c r="O17" s="34">
        <f t="shared" si="4"/>
        <v>-4.2128306139583025E-3</v>
      </c>
      <c r="P17" s="34">
        <f t="shared" si="5"/>
        <v>2.5967417712656309E-3</v>
      </c>
    </row>
    <row r="18" spans="2:16" x14ac:dyDescent="0.2">
      <c r="B18" s="12" t="s">
        <v>71</v>
      </c>
      <c r="C18" s="32">
        <f>'1.RETURNS'!D18</f>
        <v>-1.9171552133154184E-2</v>
      </c>
      <c r="D18" s="30">
        <f t="shared" si="0"/>
        <v>3.6754841119424872E-4</v>
      </c>
      <c r="E18" s="30">
        <f t="shared" si="1"/>
        <v>1.9171552133154184E-2</v>
      </c>
      <c r="G18" s="6"/>
      <c r="I18" s="34">
        <v>1.4999999999999999E-2</v>
      </c>
      <c r="J18" s="34">
        <v>0.02</v>
      </c>
      <c r="K18" s="35" t="s">
        <v>360</v>
      </c>
      <c r="L18" s="34">
        <f t="shared" si="2"/>
        <v>12</v>
      </c>
      <c r="M18" s="34">
        <f t="shared" si="3"/>
        <v>12.621379434705313</v>
      </c>
      <c r="O18" s="34">
        <f t="shared" si="4"/>
        <v>2.5967417712656309E-3</v>
      </c>
      <c r="P18" s="34">
        <f t="shared" si="5"/>
        <v>-1.9171552133154184E-2</v>
      </c>
    </row>
    <row r="19" spans="2:16" x14ac:dyDescent="0.2">
      <c r="B19" s="17" t="s">
        <v>73</v>
      </c>
      <c r="C19" s="32">
        <f>'1.RETURNS'!D19</f>
        <v>-2.0470411829203214E-2</v>
      </c>
      <c r="D19" s="33">
        <f t="shared" si="0"/>
        <v>4.1903776045718288E-4</v>
      </c>
      <c r="E19" s="33">
        <f t="shared" si="1"/>
        <v>2.0470411829203214E-2</v>
      </c>
      <c r="G19" s="37" t="s">
        <v>361</v>
      </c>
      <c r="I19" s="34">
        <v>0.02</v>
      </c>
      <c r="J19" s="34">
        <v>2.5000000000000001E-2</v>
      </c>
      <c r="K19" s="35" t="s">
        <v>362</v>
      </c>
      <c r="L19" s="34">
        <f t="shared" si="2"/>
        <v>4</v>
      </c>
      <c r="M19" s="34">
        <f t="shared" si="3"/>
        <v>5.5622378670838524</v>
      </c>
      <c r="O19" s="34">
        <f t="shared" si="4"/>
        <v>-1.9171552133154184E-2</v>
      </c>
      <c r="P19" s="34">
        <f t="shared" si="5"/>
        <v>-2.0470411829203214E-2</v>
      </c>
    </row>
    <row r="20" spans="2:16" x14ac:dyDescent="0.2">
      <c r="B20" s="12" t="s">
        <v>74</v>
      </c>
      <c r="C20" s="32">
        <f>'1.RETURNS'!D20</f>
        <v>-6.4772079169447584E-3</v>
      </c>
      <c r="D20" s="30">
        <f t="shared" si="0"/>
        <v>4.1954222399331859E-5</v>
      </c>
      <c r="E20" s="30">
        <f t="shared" si="1"/>
        <v>6.4772079169447584E-3</v>
      </c>
      <c r="G20" s="6" t="s">
        <v>363</v>
      </c>
      <c r="I20" s="34">
        <v>2.5000000000000001E-2</v>
      </c>
      <c r="J20" s="34">
        <v>0.03</v>
      </c>
      <c r="K20" s="35" t="s">
        <v>364</v>
      </c>
      <c r="L20" s="34">
        <f t="shared" si="2"/>
        <v>2</v>
      </c>
      <c r="M20" s="34">
        <f t="shared" si="3"/>
        <v>2.001577981088162</v>
      </c>
      <c r="O20" s="34">
        <f t="shared" si="4"/>
        <v>-2.0470411829203214E-2</v>
      </c>
      <c r="P20" s="34">
        <f t="shared" si="5"/>
        <v>-6.4772079169447584E-3</v>
      </c>
    </row>
    <row r="21" spans="2:16" ht="28" customHeight="1" x14ac:dyDescent="0.2">
      <c r="B21" s="17" t="s">
        <v>76</v>
      </c>
      <c r="C21" s="32">
        <f>'1.RETURNS'!D21</f>
        <v>-9.7974154406534671E-3</v>
      </c>
      <c r="D21" s="33">
        <f t="shared" si="0"/>
        <v>9.5989349316754971E-5</v>
      </c>
      <c r="E21" s="33">
        <f t="shared" si="1"/>
        <v>9.7974154406534671E-3</v>
      </c>
      <c r="G21" s="6" t="s">
        <v>365</v>
      </c>
      <c r="I21" s="34">
        <v>0.03</v>
      </c>
      <c r="J21" s="34">
        <v>3.5000000000000003E-2</v>
      </c>
      <c r="K21" s="35" t="s">
        <v>366</v>
      </c>
      <c r="L21" s="34">
        <f t="shared" si="2"/>
        <v>0</v>
      </c>
      <c r="M21" s="34">
        <f t="shared" si="3"/>
        <v>0.58809310372535328</v>
      </c>
      <c r="O21" s="34">
        <f t="shared" si="4"/>
        <v>-6.4772079169447584E-3</v>
      </c>
      <c r="P21" s="34">
        <f t="shared" si="5"/>
        <v>-9.7974154406534671E-3</v>
      </c>
    </row>
    <row r="22" spans="2:16" ht="28" customHeight="1" x14ac:dyDescent="0.2">
      <c r="B22" s="12" t="s">
        <v>78</v>
      </c>
      <c r="C22" s="32">
        <f>'1.RETURNS'!D22</f>
        <v>3.6193332840726675E-3</v>
      </c>
      <c r="D22" s="30">
        <f t="shared" si="0"/>
        <v>1.3099573421196241E-5</v>
      </c>
      <c r="E22" s="30">
        <f t="shared" si="1"/>
        <v>3.6193332840726675E-3</v>
      </c>
      <c r="G22" s="6" t="s">
        <v>367</v>
      </c>
      <c r="I22" s="34">
        <v>3.5000000000000003E-2</v>
      </c>
      <c r="J22" s="34">
        <v>0.04</v>
      </c>
      <c r="K22" s="35" t="s">
        <v>368</v>
      </c>
      <c r="L22" s="34">
        <f t="shared" si="2"/>
        <v>0</v>
      </c>
      <c r="M22" s="34">
        <f t="shared" si="3"/>
        <v>0.14107044552697645</v>
      </c>
      <c r="O22" s="34">
        <f t="shared" si="4"/>
        <v>-9.7974154406534671E-3</v>
      </c>
      <c r="P22" s="34">
        <f t="shared" si="5"/>
        <v>3.6193332840726675E-3</v>
      </c>
    </row>
    <row r="23" spans="2:16" x14ac:dyDescent="0.2">
      <c r="B23" s="17" t="s">
        <v>79</v>
      </c>
      <c r="C23" s="32">
        <f>'1.RETURNS'!D23</f>
        <v>-8.7524506038356795E-3</v>
      </c>
      <c r="D23" s="33">
        <f t="shared" si="0"/>
        <v>7.6605391572583551E-5</v>
      </c>
      <c r="E23" s="33">
        <f t="shared" si="1"/>
        <v>8.7524506038356795E-3</v>
      </c>
      <c r="G23" s="6" t="s">
        <v>369</v>
      </c>
      <c r="I23" s="34">
        <v>0.04</v>
      </c>
      <c r="J23" s="34">
        <v>4.4999999999999998E-2</v>
      </c>
      <c r="K23" s="35" t="s">
        <v>370</v>
      </c>
      <c r="L23" s="34">
        <f t="shared" si="2"/>
        <v>1</v>
      </c>
      <c r="M23" s="34">
        <f t="shared" si="3"/>
        <v>2.7625114968374942E-2</v>
      </c>
      <c r="O23" s="34">
        <f t="shared" si="4"/>
        <v>3.6193332840726675E-3</v>
      </c>
      <c r="P23" s="34">
        <f t="shared" si="5"/>
        <v>-8.7524506038356795E-3</v>
      </c>
    </row>
    <row r="24" spans="2:16" x14ac:dyDescent="0.2">
      <c r="B24" s="12" t="s">
        <v>81</v>
      </c>
      <c r="C24" s="32">
        <f>'1.RETURNS'!D24</f>
        <v>-1.4251166520256224E-2</v>
      </c>
      <c r="D24" s="30">
        <f t="shared" si="0"/>
        <v>2.0309574718807189E-4</v>
      </c>
      <c r="E24" s="30">
        <f t="shared" si="1"/>
        <v>1.4251166520256224E-2</v>
      </c>
      <c r="G24" s="6" t="s">
        <v>371</v>
      </c>
      <c r="I24" s="34">
        <v>4.4999999999999998E-2</v>
      </c>
      <c r="J24" s="34">
        <v>0.05</v>
      </c>
      <c r="K24" s="35" t="s">
        <v>372</v>
      </c>
      <c r="L24" s="34">
        <f>COUNTIF($C$5:$C$255,"&gt;="&amp;I24)</f>
        <v>0</v>
      </c>
      <c r="M24" s="34">
        <f>COUNT($C$5:$C$255)*(1-_xlfn.NORM.DIST(I24,AVERAGE($C$5:$C$255),STDEV($C$5:$C$255),TRUE))</f>
        <v>5.0589716012162667E-3</v>
      </c>
      <c r="O24" s="34">
        <f t="shared" si="4"/>
        <v>-8.7524506038356795E-3</v>
      </c>
      <c r="P24" s="34">
        <f t="shared" si="5"/>
        <v>-1.4251166520256224E-2</v>
      </c>
    </row>
    <row r="25" spans="2:16" x14ac:dyDescent="0.2">
      <c r="B25" s="17" t="s">
        <v>83</v>
      </c>
      <c r="C25" s="32">
        <f>'1.RETURNS'!D25</f>
        <v>1.6633480164295882E-2</v>
      </c>
      <c r="D25" s="33">
        <f t="shared" si="0"/>
        <v>2.7667266237602452E-4</v>
      </c>
      <c r="E25" s="33">
        <f t="shared" si="1"/>
        <v>1.6633480164295882E-2</v>
      </c>
      <c r="G25" s="6"/>
      <c r="O25" s="34">
        <f t="shared" si="4"/>
        <v>-1.4251166520256224E-2</v>
      </c>
      <c r="P25" s="34">
        <f t="shared" si="5"/>
        <v>1.6633480164295882E-2</v>
      </c>
    </row>
    <row r="26" spans="2:16" ht="28" customHeight="1" x14ac:dyDescent="0.2">
      <c r="B26" s="12" t="s">
        <v>84</v>
      </c>
      <c r="C26" s="32">
        <f>'1.RETURNS'!D26</f>
        <v>-2.3279526462302333E-3</v>
      </c>
      <c r="D26" s="30">
        <f t="shared" si="0"/>
        <v>5.4193635230903455E-6</v>
      </c>
      <c r="E26" s="30">
        <f t="shared" si="1"/>
        <v>2.3279526462302333E-3</v>
      </c>
      <c r="G26" s="37" t="s">
        <v>373</v>
      </c>
      <c r="O26" s="34">
        <f t="shared" si="4"/>
        <v>1.6633480164295882E-2</v>
      </c>
      <c r="P26" s="34">
        <f t="shared" si="5"/>
        <v>-2.3279526462302333E-3</v>
      </c>
    </row>
    <row r="27" spans="2:16" ht="28" customHeight="1" x14ac:dyDescent="0.2">
      <c r="B27" s="17" t="s">
        <v>86</v>
      </c>
      <c r="C27" s="32">
        <f>'1.RETURNS'!D27</f>
        <v>9.3726235716231547E-4</v>
      </c>
      <c r="D27" s="33">
        <f t="shared" si="0"/>
        <v>8.784607261534598E-7</v>
      </c>
      <c r="E27" s="33">
        <f t="shared" si="1"/>
        <v>9.3726235716231547E-4</v>
      </c>
      <c r="G27" s="6" t="s">
        <v>374</v>
      </c>
      <c r="O27" s="34">
        <f t="shared" si="4"/>
        <v>-2.3279526462302333E-3</v>
      </c>
      <c r="P27" s="34">
        <f t="shared" si="5"/>
        <v>9.3726235716231547E-4</v>
      </c>
    </row>
    <row r="28" spans="2:16" x14ac:dyDescent="0.2">
      <c r="B28" s="12" t="s">
        <v>88</v>
      </c>
      <c r="C28" s="32">
        <f>'1.RETURNS'!D28</f>
        <v>-1.3635751621641814E-2</v>
      </c>
      <c r="D28" s="30">
        <f t="shared" si="0"/>
        <v>1.8593372228710737E-4</v>
      </c>
      <c r="E28" s="30">
        <f t="shared" si="1"/>
        <v>1.3635751621641814E-2</v>
      </c>
      <c r="G28" s="6" t="s">
        <v>375</v>
      </c>
      <c r="O28" s="34">
        <f t="shared" si="4"/>
        <v>9.3726235716231547E-4</v>
      </c>
      <c r="P28" s="34">
        <f t="shared" si="5"/>
        <v>-1.3635751621641814E-2</v>
      </c>
    </row>
    <row r="29" spans="2:16" x14ac:dyDescent="0.2">
      <c r="B29" s="17" t="s">
        <v>90</v>
      </c>
      <c r="C29" s="32">
        <f>'1.RETURNS'!D29</f>
        <v>-5.5921391318446883E-3</v>
      </c>
      <c r="D29" s="33">
        <f t="shared" si="0"/>
        <v>3.1272020069908661E-5</v>
      </c>
      <c r="E29" s="33">
        <f t="shared" si="1"/>
        <v>5.5921391318446883E-3</v>
      </c>
      <c r="G29" s="6" t="s">
        <v>376</v>
      </c>
      <c r="O29" s="34">
        <f t="shared" si="4"/>
        <v>-1.3635751621641814E-2</v>
      </c>
      <c r="P29" s="34">
        <f t="shared" si="5"/>
        <v>-5.5921391318446883E-3</v>
      </c>
    </row>
    <row r="30" spans="2:16" x14ac:dyDescent="0.2">
      <c r="B30" s="12" t="s">
        <v>91</v>
      </c>
      <c r="C30" s="32">
        <f>'1.RETURNS'!D30</f>
        <v>1.3854201179323263E-3</v>
      </c>
      <c r="D30" s="30">
        <f t="shared" si="0"/>
        <v>1.919388903171621E-6</v>
      </c>
      <c r="E30" s="30">
        <f t="shared" si="1"/>
        <v>1.3854201179323263E-3</v>
      </c>
      <c r="G30" s="6"/>
      <c r="O30" s="34">
        <f t="shared" si="4"/>
        <v>-5.5921391318446883E-3</v>
      </c>
      <c r="P30" s="34">
        <f t="shared" si="5"/>
        <v>1.3854201179323263E-3</v>
      </c>
    </row>
    <row r="31" spans="2:16" ht="28" customHeight="1" x14ac:dyDescent="0.2">
      <c r="B31" s="17" t="s">
        <v>93</v>
      </c>
      <c r="C31" s="32">
        <f>'1.RETURNS'!D31</f>
        <v>-1.1016357826425731E-2</v>
      </c>
      <c r="D31" s="33">
        <f t="shared" si="0"/>
        <v>1.2136013975985145E-4</v>
      </c>
      <c r="E31" s="33">
        <f t="shared" si="1"/>
        <v>1.1016357826425731E-2</v>
      </c>
      <c r="G31" s="37" t="s">
        <v>377</v>
      </c>
      <c r="O31" s="34">
        <f t="shared" si="4"/>
        <v>1.3854201179323263E-3</v>
      </c>
      <c r="P31" s="34">
        <f t="shared" si="5"/>
        <v>-1.1016357826425731E-2</v>
      </c>
    </row>
    <row r="32" spans="2:16" x14ac:dyDescent="0.2">
      <c r="B32" s="12" t="s">
        <v>95</v>
      </c>
      <c r="C32" s="32">
        <f>'1.RETURNS'!D32</f>
        <v>4.3343886599564773E-3</v>
      </c>
      <c r="D32" s="30">
        <f t="shared" si="0"/>
        <v>1.8786925055559306E-5</v>
      </c>
      <c r="E32" s="30">
        <f t="shared" si="1"/>
        <v>4.3343886599564773E-3</v>
      </c>
      <c r="G32" s="6" t="s">
        <v>378</v>
      </c>
      <c r="O32" s="34">
        <f t="shared" si="4"/>
        <v>-1.1016357826425731E-2</v>
      </c>
      <c r="P32" s="34">
        <f t="shared" si="5"/>
        <v>4.3343886599564773E-3</v>
      </c>
    </row>
    <row r="33" spans="2:16" ht="28" customHeight="1" x14ac:dyDescent="0.2">
      <c r="B33" s="17" t="s">
        <v>97</v>
      </c>
      <c r="C33" s="32">
        <f>'1.RETURNS'!D33</f>
        <v>-5.9637653469286865E-3</v>
      </c>
      <c r="D33" s="33">
        <f t="shared" si="0"/>
        <v>3.5566497113227438E-5</v>
      </c>
      <c r="E33" s="33">
        <f t="shared" si="1"/>
        <v>5.9637653469286865E-3</v>
      </c>
      <c r="G33" s="6" t="s">
        <v>379</v>
      </c>
      <c r="O33" s="34">
        <f t="shared" si="4"/>
        <v>4.3343886599564773E-3</v>
      </c>
      <c r="P33" s="34">
        <f t="shared" si="5"/>
        <v>-5.9637653469286865E-3</v>
      </c>
    </row>
    <row r="34" spans="2:16" x14ac:dyDescent="0.2">
      <c r="B34" s="12" t="s">
        <v>99</v>
      </c>
      <c r="C34" s="32">
        <f>'1.RETURNS'!D34</f>
        <v>-2.7659885362656092E-3</v>
      </c>
      <c r="D34" s="30">
        <f t="shared" si="0"/>
        <v>7.6506925827527682E-6</v>
      </c>
      <c r="E34" s="30">
        <f t="shared" si="1"/>
        <v>2.7659885362656092E-3</v>
      </c>
      <c r="G34" s="6" t="s">
        <v>380</v>
      </c>
      <c r="O34" s="34">
        <f t="shared" si="4"/>
        <v>-5.9637653469286865E-3</v>
      </c>
      <c r="P34" s="34">
        <f t="shared" si="5"/>
        <v>-2.7659885362656092E-3</v>
      </c>
    </row>
    <row r="35" spans="2:16" x14ac:dyDescent="0.2">
      <c r="B35" s="17" t="s">
        <v>101</v>
      </c>
      <c r="C35" s="32">
        <f>'1.RETURNS'!D35</f>
        <v>-5.4750569563483563E-3</v>
      </c>
      <c r="D35" s="33">
        <f t="shared" si="0"/>
        <v>2.9976248675258525E-5</v>
      </c>
      <c r="E35" s="33">
        <f t="shared" si="1"/>
        <v>5.4750569563483563E-3</v>
      </c>
      <c r="G35" s="6" t="s">
        <v>381</v>
      </c>
      <c r="O35" s="34">
        <f t="shared" si="4"/>
        <v>-2.7659885362656092E-3</v>
      </c>
      <c r="P35" s="34">
        <f t="shared" si="5"/>
        <v>-5.4750569563483563E-3</v>
      </c>
    </row>
    <row r="36" spans="2:16" x14ac:dyDescent="0.2">
      <c r="B36" s="12" t="s">
        <v>103</v>
      </c>
      <c r="C36" s="32">
        <f>'1.RETURNS'!D36</f>
        <v>1.8407343631838935E-2</v>
      </c>
      <c r="D36" s="30">
        <f t="shared" si="0"/>
        <v>3.3883029958060141E-4</v>
      </c>
      <c r="E36" s="30">
        <f t="shared" si="1"/>
        <v>1.8407343631838935E-2</v>
      </c>
      <c r="G36" s="6" t="s">
        <v>382</v>
      </c>
      <c r="O36" s="34">
        <f t="shared" si="4"/>
        <v>-5.4750569563483563E-3</v>
      </c>
      <c r="P36" s="34">
        <f t="shared" si="5"/>
        <v>1.8407343631838935E-2</v>
      </c>
    </row>
    <row r="37" spans="2:16" x14ac:dyDescent="0.2">
      <c r="B37" s="17" t="s">
        <v>104</v>
      </c>
      <c r="C37" s="32">
        <f>'1.RETURNS'!D37</f>
        <v>8.7750087806441539E-5</v>
      </c>
      <c r="D37" s="33">
        <f t="shared" si="0"/>
        <v>7.7000779100382002E-9</v>
      </c>
      <c r="E37" s="33">
        <f t="shared" si="1"/>
        <v>8.7750087806441539E-5</v>
      </c>
      <c r="G37" s="6"/>
      <c r="O37" s="34">
        <f t="shared" si="4"/>
        <v>1.8407343631838935E-2</v>
      </c>
      <c r="P37" s="34">
        <f t="shared" si="5"/>
        <v>8.7750087806441539E-5</v>
      </c>
    </row>
    <row r="38" spans="2:16" x14ac:dyDescent="0.2">
      <c r="B38" s="12" t="s">
        <v>105</v>
      </c>
      <c r="C38" s="32">
        <f>'1.RETURNS'!D38</f>
        <v>-9.3562805766086825E-3</v>
      </c>
      <c r="D38" s="30">
        <f t="shared" si="0"/>
        <v>8.7539986228224903E-5</v>
      </c>
      <c r="E38" s="30">
        <f t="shared" si="1"/>
        <v>9.3562805766086825E-3</v>
      </c>
      <c r="G38" s="15" t="s">
        <v>383</v>
      </c>
      <c r="O38" s="34">
        <f t="shared" si="4"/>
        <v>8.7750087806441539E-5</v>
      </c>
      <c r="P38" s="34">
        <f t="shared" si="5"/>
        <v>-9.3562805766086825E-3</v>
      </c>
    </row>
    <row r="39" spans="2:16" x14ac:dyDescent="0.2">
      <c r="B39" s="17" t="s">
        <v>106</v>
      </c>
      <c r="C39" s="32">
        <f>'1.RETURNS'!D39</f>
        <v>9.0814585452372431E-3</v>
      </c>
      <c r="D39" s="33">
        <f t="shared" si="0"/>
        <v>8.2472889308862546E-5</v>
      </c>
      <c r="E39" s="33">
        <f t="shared" si="1"/>
        <v>9.0814585452372431E-3</v>
      </c>
      <c r="G39" s="38" t="s">
        <v>384</v>
      </c>
      <c r="O39" s="34">
        <f t="shared" si="4"/>
        <v>-9.3562805766086825E-3</v>
      </c>
      <c r="P39" s="34">
        <f t="shared" si="5"/>
        <v>9.0814585452372431E-3</v>
      </c>
    </row>
    <row r="40" spans="2:16" x14ac:dyDescent="0.2">
      <c r="B40" s="12" t="s">
        <v>107</v>
      </c>
      <c r="C40" s="32">
        <f>'1.RETURNS'!D40</f>
        <v>-1.3189794377500771E-2</v>
      </c>
      <c r="D40" s="30">
        <f t="shared" si="0"/>
        <v>1.7397067572075096E-4</v>
      </c>
      <c r="E40" s="30">
        <f t="shared" si="1"/>
        <v>1.3189794377500771E-2</v>
      </c>
      <c r="G40" s="38" t="s">
        <v>385</v>
      </c>
      <c r="O40" s="34">
        <f t="shared" si="4"/>
        <v>9.0814585452372431E-3</v>
      </c>
      <c r="P40" s="34">
        <f t="shared" si="5"/>
        <v>-1.3189794377500771E-2</v>
      </c>
    </row>
    <row r="41" spans="2:16" x14ac:dyDescent="0.2">
      <c r="B41" s="17" t="s">
        <v>108</v>
      </c>
      <c r="C41" s="32">
        <f>'1.RETURNS'!D41</f>
        <v>2.5898212119692798E-3</v>
      </c>
      <c r="D41" s="33">
        <f t="shared" si="0"/>
        <v>6.7071739099660293E-6</v>
      </c>
      <c r="E41" s="33">
        <f t="shared" si="1"/>
        <v>2.5898212119692798E-3</v>
      </c>
      <c r="G41" s="6" t="s">
        <v>386</v>
      </c>
      <c r="O41" s="34">
        <f t="shared" si="4"/>
        <v>-1.3189794377500771E-2</v>
      </c>
      <c r="P41" s="34">
        <f t="shared" si="5"/>
        <v>2.5898212119692798E-3</v>
      </c>
    </row>
    <row r="42" spans="2:16" x14ac:dyDescent="0.2">
      <c r="B42" s="12" t="s">
        <v>109</v>
      </c>
      <c r="C42" s="32">
        <f>'1.RETURNS'!D42</f>
        <v>-1.8806258881128822E-2</v>
      </c>
      <c r="D42" s="30">
        <f t="shared" si="0"/>
        <v>3.5367537310403667E-4</v>
      </c>
      <c r="E42" s="30">
        <f t="shared" si="1"/>
        <v>1.8806258881128822E-2</v>
      </c>
      <c r="O42" s="34">
        <f t="shared" si="4"/>
        <v>2.5898212119692798E-3</v>
      </c>
      <c r="P42" s="34">
        <f t="shared" si="5"/>
        <v>-1.8806258881128822E-2</v>
      </c>
    </row>
    <row r="43" spans="2:16" x14ac:dyDescent="0.2">
      <c r="B43" s="17" t="s">
        <v>110</v>
      </c>
      <c r="C43" s="32">
        <f>'1.RETURNS'!D43</f>
        <v>-1.5574917471076215E-2</v>
      </c>
      <c r="D43" s="33">
        <f t="shared" si="0"/>
        <v>2.4257805423083512E-4</v>
      </c>
      <c r="E43" s="33">
        <f t="shared" si="1"/>
        <v>1.5574917471076215E-2</v>
      </c>
      <c r="O43" s="34">
        <f t="shared" si="4"/>
        <v>-1.8806258881128822E-2</v>
      </c>
      <c r="P43" s="34">
        <f t="shared" si="5"/>
        <v>-1.5574917471076215E-2</v>
      </c>
    </row>
    <row r="44" spans="2:16" ht="15" customHeight="1" x14ac:dyDescent="0.2">
      <c r="B44" s="12" t="s">
        <v>111</v>
      </c>
      <c r="C44" s="32">
        <f>'1.RETURNS'!D44</f>
        <v>2.4878125762513E-3</v>
      </c>
      <c r="D44" s="30">
        <f t="shared" si="0"/>
        <v>6.1892114145541307E-6</v>
      </c>
      <c r="E44" s="30">
        <f t="shared" si="1"/>
        <v>2.4878125762513E-3</v>
      </c>
      <c r="G44" s="54" t="s">
        <v>387</v>
      </c>
      <c r="H44" s="52"/>
      <c r="I44" s="52"/>
      <c r="J44" s="55"/>
      <c r="O44" s="34">
        <f t="shared" si="4"/>
        <v>-1.5574917471076215E-2</v>
      </c>
      <c r="P44" s="34">
        <f t="shared" si="5"/>
        <v>2.4878125762513E-3</v>
      </c>
    </row>
    <row r="45" spans="2:16" ht="15" customHeight="1" x14ac:dyDescent="0.2">
      <c r="B45" s="17" t="s">
        <v>112</v>
      </c>
      <c r="C45" s="32">
        <f>'1.RETURNS'!D45</f>
        <v>7.5532940637161585E-3</v>
      </c>
      <c r="D45" s="33">
        <f t="shared" si="0"/>
        <v>5.705225121296976E-5</v>
      </c>
      <c r="E45" s="33">
        <f t="shared" si="1"/>
        <v>7.5532940637161585E-3</v>
      </c>
      <c r="G45" s="27" t="s">
        <v>388</v>
      </c>
      <c r="H45" s="39">
        <f>AVERAGE(C4:C255)</f>
        <v>-2.253892551755615E-4</v>
      </c>
      <c r="I45" s="56" t="s">
        <v>389</v>
      </c>
      <c r="J45" s="52"/>
      <c r="O45" s="34">
        <f t="shared" si="4"/>
        <v>2.4878125762513E-3</v>
      </c>
      <c r="P45" s="34">
        <f t="shared" si="5"/>
        <v>7.5532940637161585E-3</v>
      </c>
    </row>
    <row r="46" spans="2:16" ht="28" customHeight="1" x14ac:dyDescent="0.2">
      <c r="B46" s="12" t="s">
        <v>113</v>
      </c>
      <c r="C46" s="32">
        <f>'1.RETURNS'!D46</f>
        <v>2.1145723363076522E-3</v>
      </c>
      <c r="D46" s="30">
        <f t="shared" si="0"/>
        <v>4.4714161654776022E-6</v>
      </c>
      <c r="E46" s="30">
        <f t="shared" si="1"/>
        <v>2.1145723363076522E-3</v>
      </c>
      <c r="G46" s="27" t="s">
        <v>390</v>
      </c>
      <c r="H46" s="39">
        <f>STDEV(C4:C255)</f>
        <v>1.1015288771793391E-2</v>
      </c>
      <c r="I46" s="56" t="s">
        <v>391</v>
      </c>
      <c r="J46" s="52"/>
      <c r="O46" s="34">
        <f t="shared" si="4"/>
        <v>7.5532940637161585E-3</v>
      </c>
      <c r="P46" s="34">
        <f t="shared" si="5"/>
        <v>2.1145723363076522E-3</v>
      </c>
    </row>
    <row r="47" spans="2:16" ht="28" customHeight="1" x14ac:dyDescent="0.2">
      <c r="B47" s="17" t="s">
        <v>114</v>
      </c>
      <c r="C47" s="32">
        <f>'1.RETURNS'!D47</f>
        <v>-8.4768128441018993E-4</v>
      </c>
      <c r="D47" s="33">
        <f t="shared" si="0"/>
        <v>7.1856355993930929E-7</v>
      </c>
      <c r="E47" s="33">
        <f t="shared" si="1"/>
        <v>8.4768128441018993E-4</v>
      </c>
      <c r="G47" s="27" t="s">
        <v>392</v>
      </c>
      <c r="H47" s="39">
        <f>SKEW(C4:C255)</f>
        <v>-0.22741114709523524</v>
      </c>
      <c r="I47" s="56" t="s">
        <v>393</v>
      </c>
      <c r="J47" s="52"/>
      <c r="O47" s="34">
        <f t="shared" si="4"/>
        <v>2.1145723363076522E-3</v>
      </c>
      <c r="P47" s="34">
        <f t="shared" si="5"/>
        <v>-8.4768128441018993E-4</v>
      </c>
    </row>
    <row r="48" spans="2:16" ht="15" customHeight="1" x14ac:dyDescent="0.2">
      <c r="B48" s="12" t="s">
        <v>115</v>
      </c>
      <c r="C48" s="32">
        <f>'1.RETURNS'!D48</f>
        <v>-2.7581407103905642E-3</v>
      </c>
      <c r="D48" s="30">
        <f t="shared" si="0"/>
        <v>7.6073401783137663E-6</v>
      </c>
      <c r="E48" s="30">
        <f t="shared" si="1"/>
        <v>2.7581407103905642E-3</v>
      </c>
      <c r="G48" s="27" t="s">
        <v>394</v>
      </c>
      <c r="H48" s="39">
        <f>KURT(C4:C255)+3</f>
        <v>4.607174956840856</v>
      </c>
      <c r="I48" s="56" t="s">
        <v>395</v>
      </c>
      <c r="J48" s="52"/>
      <c r="O48" s="34">
        <f t="shared" si="4"/>
        <v>-8.4768128441018993E-4</v>
      </c>
      <c r="P48" s="34">
        <f t="shared" si="5"/>
        <v>-2.7581407103905642E-3</v>
      </c>
    </row>
    <row r="49" spans="2:16" ht="28" customHeight="1" x14ac:dyDescent="0.2">
      <c r="B49" s="17" t="s">
        <v>116</v>
      </c>
      <c r="C49" s="32">
        <f>'1.RETURNS'!D49</f>
        <v>-1.4851304136611461E-2</v>
      </c>
      <c r="D49" s="33">
        <f t="shared" si="0"/>
        <v>2.2056123455813269E-4</v>
      </c>
      <c r="E49" s="33">
        <f t="shared" si="1"/>
        <v>1.4851304136611461E-2</v>
      </c>
      <c r="G49" s="27" t="s">
        <v>396</v>
      </c>
      <c r="H49" s="39">
        <f>KURT(C4:C255)</f>
        <v>1.6071749568408564</v>
      </c>
      <c r="I49" s="56" t="s">
        <v>397</v>
      </c>
      <c r="J49" s="52"/>
      <c r="O49" s="34">
        <f t="shared" si="4"/>
        <v>-2.7581407103905642E-3</v>
      </c>
      <c r="P49" s="34">
        <f t="shared" si="5"/>
        <v>-1.4851304136611461E-2</v>
      </c>
    </row>
    <row r="50" spans="2:16" x14ac:dyDescent="0.2">
      <c r="B50" s="12" t="s">
        <v>117</v>
      </c>
      <c r="C50" s="32">
        <f>'1.RETURNS'!D50</f>
        <v>-7.683127431506823E-3</v>
      </c>
      <c r="D50" s="30">
        <f t="shared" si="0"/>
        <v>5.9030447128772628E-5</v>
      </c>
      <c r="E50" s="30">
        <f t="shared" si="1"/>
        <v>7.683127431506823E-3</v>
      </c>
      <c r="G50" s="27" t="s">
        <v>398</v>
      </c>
      <c r="H50" s="39" t="s">
        <v>399</v>
      </c>
      <c r="I50" s="56" t="s">
        <v>400</v>
      </c>
      <c r="J50" s="52"/>
      <c r="O50" s="34">
        <f t="shared" si="4"/>
        <v>-1.4851304136611461E-2</v>
      </c>
      <c r="P50" s="34">
        <f t="shared" si="5"/>
        <v>-7.683127431506823E-3</v>
      </c>
    </row>
    <row r="51" spans="2:16" x14ac:dyDescent="0.2">
      <c r="B51" s="17" t="s">
        <v>118</v>
      </c>
      <c r="C51" s="32">
        <f>'1.RETURNS'!D51</f>
        <v>-4.3656826068705946E-3</v>
      </c>
      <c r="D51" s="33">
        <f t="shared" si="0"/>
        <v>1.9059184623932433E-5</v>
      </c>
      <c r="E51" s="33">
        <f t="shared" si="1"/>
        <v>4.3656826068705946E-3</v>
      </c>
      <c r="O51" s="34">
        <f t="shared" si="4"/>
        <v>-7.683127431506823E-3</v>
      </c>
      <c r="P51" s="34">
        <f t="shared" si="5"/>
        <v>-4.3656826068705946E-3</v>
      </c>
    </row>
    <row r="52" spans="2:16" x14ac:dyDescent="0.2">
      <c r="B52" s="12" t="s">
        <v>119</v>
      </c>
      <c r="C52" s="32">
        <f>'1.RETURNS'!D52</f>
        <v>1.0511055683539985E-2</v>
      </c>
      <c r="D52" s="30">
        <f t="shared" si="0"/>
        <v>1.1048229158247822E-4</v>
      </c>
      <c r="E52" s="30">
        <f t="shared" si="1"/>
        <v>1.0511055683539985E-2</v>
      </c>
      <c r="O52" s="34">
        <f t="shared" si="4"/>
        <v>-4.3656826068705946E-3</v>
      </c>
      <c r="P52" s="34">
        <f t="shared" si="5"/>
        <v>1.0511055683539985E-2</v>
      </c>
    </row>
    <row r="53" spans="2:16" x14ac:dyDescent="0.2">
      <c r="B53" s="17" t="s">
        <v>120</v>
      </c>
      <c r="C53" s="32">
        <f>'1.RETURNS'!D53</f>
        <v>3.8205554190330077E-3</v>
      </c>
      <c r="D53" s="33">
        <f t="shared" si="0"/>
        <v>1.4596643709902482E-5</v>
      </c>
      <c r="E53" s="33">
        <f t="shared" si="1"/>
        <v>3.8205554190330077E-3</v>
      </c>
      <c r="O53" s="34">
        <f t="shared" si="4"/>
        <v>1.0511055683539985E-2</v>
      </c>
      <c r="P53" s="34">
        <f t="shared" si="5"/>
        <v>3.8205554190330077E-3</v>
      </c>
    </row>
    <row r="54" spans="2:16" x14ac:dyDescent="0.2">
      <c r="B54" s="12" t="s">
        <v>121</v>
      </c>
      <c r="C54" s="32">
        <f>'1.RETURNS'!D54</f>
        <v>-1.6681933197953237E-2</v>
      </c>
      <c r="D54" s="30">
        <f t="shared" si="0"/>
        <v>2.7828689522097432E-4</v>
      </c>
      <c r="E54" s="30">
        <f t="shared" si="1"/>
        <v>1.6681933197953237E-2</v>
      </c>
      <c r="O54" s="34">
        <f t="shared" si="4"/>
        <v>3.8205554190330077E-3</v>
      </c>
      <c r="P54" s="34">
        <f t="shared" si="5"/>
        <v>-1.6681933197953237E-2</v>
      </c>
    </row>
    <row r="55" spans="2:16" x14ac:dyDescent="0.2">
      <c r="B55" s="17" t="s">
        <v>122</v>
      </c>
      <c r="C55" s="32">
        <f>'1.RETURNS'!D55</f>
        <v>4.0394348524568028E-3</v>
      </c>
      <c r="D55" s="33">
        <f t="shared" si="0"/>
        <v>1.6317033927242712E-5</v>
      </c>
      <c r="E55" s="33">
        <f t="shared" si="1"/>
        <v>4.0394348524568028E-3</v>
      </c>
      <c r="O55" s="34">
        <f t="shared" si="4"/>
        <v>-1.6681933197953237E-2</v>
      </c>
      <c r="P55" s="34">
        <f t="shared" si="5"/>
        <v>4.0394348524568028E-3</v>
      </c>
    </row>
    <row r="56" spans="2:16" x14ac:dyDescent="0.2">
      <c r="B56" s="12" t="s">
        <v>123</v>
      </c>
      <c r="C56" s="32">
        <f>'1.RETURNS'!D56</f>
        <v>-3.4328481905995306E-3</v>
      </c>
      <c r="D56" s="30">
        <f t="shared" si="0"/>
        <v>1.1784446699702472E-5</v>
      </c>
      <c r="E56" s="30">
        <f t="shared" si="1"/>
        <v>3.4328481905995306E-3</v>
      </c>
      <c r="O56" s="34">
        <f t="shared" si="4"/>
        <v>4.0394348524568028E-3</v>
      </c>
      <c r="P56" s="34">
        <f t="shared" si="5"/>
        <v>-3.4328481905995306E-3</v>
      </c>
    </row>
    <row r="57" spans="2:16" x14ac:dyDescent="0.2">
      <c r="B57" s="17" t="s">
        <v>124</v>
      </c>
      <c r="C57" s="32">
        <f>'1.RETURNS'!D57</f>
        <v>-6.3454123510951772E-3</v>
      </c>
      <c r="D57" s="33">
        <f t="shared" si="0"/>
        <v>4.0264257905431223E-5</v>
      </c>
      <c r="E57" s="33">
        <f t="shared" si="1"/>
        <v>6.3454123510951772E-3</v>
      </c>
      <c r="O57" s="34">
        <f t="shared" si="4"/>
        <v>-3.4328481905995306E-3</v>
      </c>
      <c r="P57" s="34">
        <f t="shared" si="5"/>
        <v>-6.3454123510951772E-3</v>
      </c>
    </row>
    <row r="58" spans="2:16" x14ac:dyDescent="0.2">
      <c r="B58" s="12" t="s">
        <v>125</v>
      </c>
      <c r="C58" s="32">
        <f>'1.RETURNS'!D58</f>
        <v>6.7446710168615137E-3</v>
      </c>
      <c r="D58" s="30">
        <f t="shared" si="0"/>
        <v>4.5490587125691726E-5</v>
      </c>
      <c r="E58" s="30">
        <f t="shared" si="1"/>
        <v>6.7446710168615137E-3</v>
      </c>
      <c r="O58" s="34">
        <f t="shared" si="4"/>
        <v>-6.3454123510951772E-3</v>
      </c>
      <c r="P58" s="34">
        <f t="shared" si="5"/>
        <v>6.7446710168615137E-3</v>
      </c>
    </row>
    <row r="59" spans="2:16" x14ac:dyDescent="0.2">
      <c r="B59" s="17" t="s">
        <v>126</v>
      </c>
      <c r="C59" s="32">
        <f>'1.RETURNS'!D59</f>
        <v>1.0476356326837036E-2</v>
      </c>
      <c r="D59" s="33">
        <f t="shared" si="0"/>
        <v>1.0975404188685838E-4</v>
      </c>
      <c r="E59" s="33">
        <f t="shared" si="1"/>
        <v>1.0476356326837036E-2</v>
      </c>
      <c r="O59" s="34">
        <f t="shared" si="4"/>
        <v>6.7446710168615137E-3</v>
      </c>
      <c r="P59" s="34">
        <f t="shared" si="5"/>
        <v>1.0476356326837036E-2</v>
      </c>
    </row>
    <row r="60" spans="2:16" x14ac:dyDescent="0.2">
      <c r="B60" s="12" t="s">
        <v>127</v>
      </c>
      <c r="C60" s="32">
        <f>'1.RETURNS'!D60</f>
        <v>1.0563192393945127E-2</v>
      </c>
      <c r="D60" s="30">
        <f t="shared" si="0"/>
        <v>1.1158103355150019E-4</v>
      </c>
      <c r="E60" s="30">
        <f t="shared" si="1"/>
        <v>1.0563192393945127E-2</v>
      </c>
      <c r="O60" s="34">
        <f t="shared" si="4"/>
        <v>1.0476356326837036E-2</v>
      </c>
      <c r="P60" s="34">
        <f t="shared" si="5"/>
        <v>1.0563192393945127E-2</v>
      </c>
    </row>
    <row r="61" spans="2:16" x14ac:dyDescent="0.2">
      <c r="B61" s="17" t="s">
        <v>128</v>
      </c>
      <c r="C61" s="32">
        <f>'1.RETURNS'!D61</f>
        <v>-8.6289840852801277E-3</v>
      </c>
      <c r="D61" s="33">
        <f t="shared" si="0"/>
        <v>7.4459366344017716E-5</v>
      </c>
      <c r="E61" s="33">
        <f t="shared" si="1"/>
        <v>8.6289840852801277E-3</v>
      </c>
      <c r="O61" s="34">
        <f t="shared" si="4"/>
        <v>1.0563192393945127E-2</v>
      </c>
      <c r="P61" s="34">
        <f t="shared" si="5"/>
        <v>-8.6289840852801277E-3</v>
      </c>
    </row>
    <row r="62" spans="2:16" x14ac:dyDescent="0.2">
      <c r="B62" s="12" t="s">
        <v>129</v>
      </c>
      <c r="C62" s="32">
        <f>'1.RETURNS'!D62</f>
        <v>-2.8929542546789915E-3</v>
      </c>
      <c r="D62" s="30">
        <f t="shared" si="0"/>
        <v>8.3691843196652798E-6</v>
      </c>
      <c r="E62" s="30">
        <f t="shared" si="1"/>
        <v>2.8929542546789915E-3</v>
      </c>
      <c r="O62" s="34">
        <f t="shared" si="4"/>
        <v>-8.6289840852801277E-3</v>
      </c>
      <c r="P62" s="34">
        <f t="shared" si="5"/>
        <v>-2.8929542546789915E-3</v>
      </c>
    </row>
    <row r="63" spans="2:16" x14ac:dyDescent="0.2">
      <c r="B63" s="17" t="s">
        <v>130</v>
      </c>
      <c r="C63" s="32">
        <f>'1.RETURNS'!D63</f>
        <v>3.5960394652092033E-3</v>
      </c>
      <c r="D63" s="33">
        <f t="shared" si="0"/>
        <v>1.2931499835342092E-5</v>
      </c>
      <c r="E63" s="33">
        <f t="shared" si="1"/>
        <v>3.5960394652092033E-3</v>
      </c>
      <c r="O63" s="34">
        <f t="shared" si="4"/>
        <v>-2.8929542546789915E-3</v>
      </c>
      <c r="P63" s="34">
        <f t="shared" si="5"/>
        <v>3.5960394652092033E-3</v>
      </c>
    </row>
    <row r="64" spans="2:16" x14ac:dyDescent="0.2">
      <c r="B64" s="12" t="s">
        <v>131</v>
      </c>
      <c r="C64" s="32">
        <f>'1.RETURNS'!D64</f>
        <v>1.0092626843755111E-2</v>
      </c>
      <c r="D64" s="30">
        <f t="shared" si="0"/>
        <v>1.0186111660728627E-4</v>
      </c>
      <c r="E64" s="30">
        <f t="shared" si="1"/>
        <v>1.0092626843755111E-2</v>
      </c>
      <c r="O64" s="34">
        <f t="shared" si="4"/>
        <v>3.5960394652092033E-3</v>
      </c>
      <c r="P64" s="34">
        <f t="shared" si="5"/>
        <v>1.0092626843755111E-2</v>
      </c>
    </row>
    <row r="65" spans="2:16" x14ac:dyDescent="0.2">
      <c r="B65" s="17" t="s">
        <v>132</v>
      </c>
      <c r="C65" s="32">
        <f>'1.RETURNS'!D65</f>
        <v>-5.0517287015175672E-3</v>
      </c>
      <c r="D65" s="33">
        <f t="shared" si="0"/>
        <v>2.5519962873736365E-5</v>
      </c>
      <c r="E65" s="33">
        <f t="shared" si="1"/>
        <v>5.0517287015175672E-3</v>
      </c>
      <c r="O65" s="34">
        <f t="shared" si="4"/>
        <v>1.0092626843755111E-2</v>
      </c>
      <c r="P65" s="34">
        <f t="shared" si="5"/>
        <v>-5.0517287015175672E-3</v>
      </c>
    </row>
    <row r="66" spans="2:16" x14ac:dyDescent="0.2">
      <c r="B66" s="12" t="s">
        <v>133</v>
      </c>
      <c r="C66" s="32">
        <f>'1.RETURNS'!D66</f>
        <v>-1.6564715140296429E-3</v>
      </c>
      <c r="D66" s="30">
        <f t="shared" si="0"/>
        <v>2.7438978767916573E-6</v>
      </c>
      <c r="E66" s="30">
        <f t="shared" si="1"/>
        <v>1.6564715140296429E-3</v>
      </c>
      <c r="O66" s="34">
        <f t="shared" si="4"/>
        <v>-5.0517287015175672E-3</v>
      </c>
      <c r="P66" s="34">
        <f t="shared" si="5"/>
        <v>-1.6564715140296429E-3</v>
      </c>
    </row>
    <row r="67" spans="2:16" x14ac:dyDescent="0.2">
      <c r="B67" s="17" t="s">
        <v>134</v>
      </c>
      <c r="C67" s="32">
        <f>'1.RETURNS'!D67</f>
        <v>-1.0795267239449648E-2</v>
      </c>
      <c r="D67" s="33">
        <f t="shared" si="0"/>
        <v>1.1653779477113484E-4</v>
      </c>
      <c r="E67" s="33">
        <f t="shared" si="1"/>
        <v>1.0795267239449648E-2</v>
      </c>
      <c r="O67" s="34">
        <f t="shared" si="4"/>
        <v>-1.6564715140296429E-3</v>
      </c>
      <c r="P67" s="34">
        <f t="shared" si="5"/>
        <v>-1.0795267239449648E-2</v>
      </c>
    </row>
    <row r="68" spans="2:16" x14ac:dyDescent="0.2">
      <c r="B68" s="12" t="s">
        <v>135</v>
      </c>
      <c r="C68" s="32">
        <f>'1.RETURNS'!D68</f>
        <v>-1.2444999511498685E-2</v>
      </c>
      <c r="D68" s="30">
        <f t="shared" ref="D68:D131" si="6">C68^2</f>
        <v>1.5487801284120252E-4</v>
      </c>
      <c r="E68" s="30">
        <f t="shared" ref="E68:E131" si="7">ABS(C68)</f>
        <v>1.2444999511498685E-2</v>
      </c>
      <c r="O68" s="34">
        <f t="shared" si="4"/>
        <v>-1.0795267239449648E-2</v>
      </c>
      <c r="P68" s="34">
        <f t="shared" si="5"/>
        <v>-1.2444999511498685E-2</v>
      </c>
    </row>
    <row r="69" spans="2:16" x14ac:dyDescent="0.2">
      <c r="B69" s="17" t="s">
        <v>136</v>
      </c>
      <c r="C69" s="32">
        <f>'1.RETURNS'!D69</f>
        <v>8.9746060145755296E-3</v>
      </c>
      <c r="D69" s="33">
        <f t="shared" si="6"/>
        <v>8.0543553116855273E-5</v>
      </c>
      <c r="E69" s="33">
        <f t="shared" si="7"/>
        <v>8.9746060145755296E-3</v>
      </c>
      <c r="O69" s="34">
        <f t="shared" si="4"/>
        <v>-1.2444999511498685E-2</v>
      </c>
      <c r="P69" s="34">
        <f t="shared" si="5"/>
        <v>8.9746060145755296E-3</v>
      </c>
    </row>
    <row r="70" spans="2:16" x14ac:dyDescent="0.2">
      <c r="B70" s="12" t="s">
        <v>137</v>
      </c>
      <c r="C70" s="32">
        <f>'1.RETURNS'!D70</f>
        <v>1.4946502341013758E-2</v>
      </c>
      <c r="D70" s="30">
        <f t="shared" si="6"/>
        <v>2.2339793222992974E-4</v>
      </c>
      <c r="E70" s="30">
        <f t="shared" si="7"/>
        <v>1.4946502341013758E-2</v>
      </c>
      <c r="O70" s="34">
        <f t="shared" ref="O70:O133" si="8">C69</f>
        <v>8.9746060145755296E-3</v>
      </c>
      <c r="P70" s="34">
        <f t="shared" ref="P70:P133" si="9">C70</f>
        <v>1.4946502341013758E-2</v>
      </c>
    </row>
    <row r="71" spans="2:16" x14ac:dyDescent="0.2">
      <c r="B71" s="17" t="s">
        <v>138</v>
      </c>
      <c r="C71" s="32">
        <f>'1.RETURNS'!D71</f>
        <v>-5.8389634955059472E-4</v>
      </c>
      <c r="D71" s="33">
        <f t="shared" si="6"/>
        <v>3.4093494701851029E-7</v>
      </c>
      <c r="E71" s="33">
        <f t="shared" si="7"/>
        <v>5.8389634955059472E-4</v>
      </c>
      <c r="O71" s="34">
        <f t="shared" si="8"/>
        <v>1.4946502341013758E-2</v>
      </c>
      <c r="P71" s="34">
        <f t="shared" si="9"/>
        <v>-5.8389634955059472E-4</v>
      </c>
    </row>
    <row r="72" spans="2:16" x14ac:dyDescent="0.2">
      <c r="B72" s="12" t="s">
        <v>139</v>
      </c>
      <c r="C72" s="32">
        <f>'1.RETURNS'!D72</f>
        <v>1.0343198855054246E-2</v>
      </c>
      <c r="D72" s="30">
        <f t="shared" si="6"/>
        <v>1.0698176255519546E-4</v>
      </c>
      <c r="E72" s="30">
        <f t="shared" si="7"/>
        <v>1.0343198855054246E-2</v>
      </c>
      <c r="O72" s="34">
        <f t="shared" si="8"/>
        <v>-5.8389634955059472E-4</v>
      </c>
      <c r="P72" s="34">
        <f t="shared" si="9"/>
        <v>1.0343198855054246E-2</v>
      </c>
    </row>
    <row r="73" spans="2:16" x14ac:dyDescent="0.2">
      <c r="B73" s="17" t="s">
        <v>140</v>
      </c>
      <c r="C73" s="32">
        <f>'1.RETURNS'!D73</f>
        <v>4.1242304592966844E-3</v>
      </c>
      <c r="D73" s="33">
        <f t="shared" si="6"/>
        <v>1.7009276881390539E-5</v>
      </c>
      <c r="E73" s="33">
        <f t="shared" si="7"/>
        <v>4.1242304592966844E-3</v>
      </c>
      <c r="O73" s="34">
        <f t="shared" si="8"/>
        <v>1.0343198855054246E-2</v>
      </c>
      <c r="P73" s="34">
        <f t="shared" si="9"/>
        <v>4.1242304592966844E-3</v>
      </c>
    </row>
    <row r="74" spans="2:16" x14ac:dyDescent="0.2">
      <c r="B74" s="12" t="s">
        <v>141</v>
      </c>
      <c r="C74" s="32">
        <f>'1.RETURNS'!D74</f>
        <v>-6.1194363860255256E-3</v>
      </c>
      <c r="D74" s="30">
        <f t="shared" si="6"/>
        <v>3.7447501682613145E-5</v>
      </c>
      <c r="E74" s="30">
        <f t="shared" si="7"/>
        <v>6.1194363860255256E-3</v>
      </c>
      <c r="O74" s="34">
        <f t="shared" si="8"/>
        <v>4.1242304592966844E-3</v>
      </c>
      <c r="P74" s="34">
        <f t="shared" si="9"/>
        <v>-6.1194363860255256E-3</v>
      </c>
    </row>
    <row r="75" spans="2:16" x14ac:dyDescent="0.2">
      <c r="B75" s="17" t="s">
        <v>142</v>
      </c>
      <c r="C75" s="32">
        <f>'1.RETURNS'!D75</f>
        <v>4.0606441288001905E-3</v>
      </c>
      <c r="D75" s="33">
        <f t="shared" si="6"/>
        <v>1.648883074075946E-5</v>
      </c>
      <c r="E75" s="33">
        <f t="shared" si="7"/>
        <v>4.0606441288001905E-3</v>
      </c>
      <c r="O75" s="34">
        <f t="shared" si="8"/>
        <v>-6.1194363860255256E-3</v>
      </c>
      <c r="P75" s="34">
        <f t="shared" si="9"/>
        <v>4.0606441288001905E-3</v>
      </c>
    </row>
    <row r="76" spans="2:16" x14ac:dyDescent="0.2">
      <c r="B76" s="12" t="s">
        <v>143</v>
      </c>
      <c r="C76" s="32">
        <f>'1.RETURNS'!D76</f>
        <v>1.5445853980873777E-2</v>
      </c>
      <c r="D76" s="30">
        <f t="shared" si="6"/>
        <v>2.385744051984743E-4</v>
      </c>
      <c r="E76" s="30">
        <f t="shared" si="7"/>
        <v>1.5445853980873777E-2</v>
      </c>
      <c r="O76" s="34">
        <f t="shared" si="8"/>
        <v>4.0606441288001905E-3</v>
      </c>
      <c r="P76" s="34">
        <f t="shared" si="9"/>
        <v>1.5445853980873777E-2</v>
      </c>
    </row>
    <row r="77" spans="2:16" x14ac:dyDescent="0.2">
      <c r="B77" s="17" t="s">
        <v>144</v>
      </c>
      <c r="C77" s="32">
        <f>'1.RETURNS'!D77</f>
        <v>-1.7442874629951025E-4</v>
      </c>
      <c r="D77" s="33">
        <f t="shared" si="6"/>
        <v>3.0425387535618912E-8</v>
      </c>
      <c r="E77" s="33">
        <f t="shared" si="7"/>
        <v>1.7442874629951025E-4</v>
      </c>
      <c r="O77" s="34">
        <f t="shared" si="8"/>
        <v>1.5445853980873777E-2</v>
      </c>
      <c r="P77" s="34">
        <f t="shared" si="9"/>
        <v>-1.7442874629951025E-4</v>
      </c>
    </row>
    <row r="78" spans="2:16" x14ac:dyDescent="0.2">
      <c r="B78" s="12" t="s">
        <v>145</v>
      </c>
      <c r="C78" s="32">
        <f>'1.RETURNS'!D78</f>
        <v>1.5712590896733079E-2</v>
      </c>
      <c r="D78" s="30">
        <f t="shared" si="6"/>
        <v>2.4688551268809919E-4</v>
      </c>
      <c r="E78" s="30">
        <f t="shared" si="7"/>
        <v>1.5712590896733079E-2</v>
      </c>
      <c r="O78" s="34">
        <f t="shared" si="8"/>
        <v>-1.7442874629951025E-4</v>
      </c>
      <c r="P78" s="34">
        <f t="shared" si="9"/>
        <v>1.5712590896733079E-2</v>
      </c>
    </row>
    <row r="79" spans="2:16" x14ac:dyDescent="0.2">
      <c r="B79" s="17" t="s">
        <v>146</v>
      </c>
      <c r="C79" s="32">
        <f>'1.RETURNS'!D79</f>
        <v>-2.9469996815207466E-2</v>
      </c>
      <c r="D79" s="33">
        <f t="shared" si="6"/>
        <v>8.6848071228833815E-4</v>
      </c>
      <c r="E79" s="33">
        <f t="shared" si="7"/>
        <v>2.9469996815207466E-2</v>
      </c>
      <c r="O79" s="34">
        <f t="shared" si="8"/>
        <v>1.5712590896733079E-2</v>
      </c>
      <c r="P79" s="34">
        <f t="shared" si="9"/>
        <v>-2.9469996815207466E-2</v>
      </c>
    </row>
    <row r="80" spans="2:16" x14ac:dyDescent="0.2">
      <c r="B80" s="12" t="s">
        <v>147</v>
      </c>
      <c r="C80" s="32">
        <f>'1.RETURNS'!D80</f>
        <v>1.1151498195056108E-2</v>
      </c>
      <c r="D80" s="30">
        <f t="shared" si="6"/>
        <v>1.2435591199433962E-4</v>
      </c>
      <c r="E80" s="30">
        <f t="shared" si="7"/>
        <v>1.1151498195056108E-2</v>
      </c>
      <c r="O80" s="34">
        <f t="shared" si="8"/>
        <v>-2.9469996815207466E-2</v>
      </c>
      <c r="P80" s="34">
        <f t="shared" si="9"/>
        <v>1.1151498195056108E-2</v>
      </c>
    </row>
    <row r="81" spans="2:16" x14ac:dyDescent="0.2">
      <c r="B81" s="17" t="s">
        <v>148</v>
      </c>
      <c r="C81" s="32">
        <f>'1.RETURNS'!D81</f>
        <v>1.2211845116262402E-3</v>
      </c>
      <c r="D81" s="33">
        <f t="shared" si="6"/>
        <v>1.4912916114358188E-6</v>
      </c>
      <c r="E81" s="33">
        <f t="shared" si="7"/>
        <v>1.2211845116262402E-3</v>
      </c>
      <c r="O81" s="34">
        <f t="shared" si="8"/>
        <v>1.1151498195056108E-2</v>
      </c>
      <c r="P81" s="34">
        <f t="shared" si="9"/>
        <v>1.2211845116262402E-3</v>
      </c>
    </row>
    <row r="82" spans="2:16" x14ac:dyDescent="0.2">
      <c r="B82" s="12" t="s">
        <v>149</v>
      </c>
      <c r="C82" s="32">
        <f>'1.RETURNS'!D82</f>
        <v>-2.5101233496032725E-3</v>
      </c>
      <c r="D82" s="30">
        <f t="shared" si="6"/>
        <v>6.3007192302235525E-6</v>
      </c>
      <c r="E82" s="30">
        <f t="shared" si="7"/>
        <v>2.5101233496032725E-3</v>
      </c>
      <c r="O82" s="34">
        <f t="shared" si="8"/>
        <v>1.2211845116262402E-3</v>
      </c>
      <c r="P82" s="34">
        <f t="shared" si="9"/>
        <v>-2.5101233496032725E-3</v>
      </c>
    </row>
    <row r="83" spans="2:16" x14ac:dyDescent="0.2">
      <c r="B83" s="17" t="s">
        <v>150</v>
      </c>
      <c r="C83" s="32">
        <f>'1.RETURNS'!D83</f>
        <v>1.2014854452613818E-3</v>
      </c>
      <c r="D83" s="33">
        <f t="shared" si="6"/>
        <v>1.4435672751749409E-6</v>
      </c>
      <c r="E83" s="33">
        <f t="shared" si="7"/>
        <v>1.2014854452613818E-3</v>
      </c>
      <c r="O83" s="34">
        <f t="shared" si="8"/>
        <v>-2.5101233496032725E-3</v>
      </c>
      <c r="P83" s="34">
        <f t="shared" si="9"/>
        <v>1.2014854452613818E-3</v>
      </c>
    </row>
    <row r="84" spans="2:16" x14ac:dyDescent="0.2">
      <c r="B84" s="12" t="s">
        <v>151</v>
      </c>
      <c r="C84" s="32">
        <f>'1.RETURNS'!D84</f>
        <v>-1.8955832778474114E-2</v>
      </c>
      <c r="D84" s="30">
        <f t="shared" si="6"/>
        <v>3.5932359632547364E-4</v>
      </c>
      <c r="E84" s="30">
        <f t="shared" si="7"/>
        <v>1.8955832778474114E-2</v>
      </c>
      <c r="O84" s="34">
        <f t="shared" si="8"/>
        <v>1.2014854452613818E-3</v>
      </c>
      <c r="P84" s="34">
        <f t="shared" si="9"/>
        <v>-1.8955832778474114E-2</v>
      </c>
    </row>
    <row r="85" spans="2:16" x14ac:dyDescent="0.2">
      <c r="B85" s="17" t="s">
        <v>152</v>
      </c>
      <c r="C85" s="32">
        <f>'1.RETURNS'!D85</f>
        <v>-2.4118481615718499E-3</v>
      </c>
      <c r="D85" s="33">
        <f t="shared" si="6"/>
        <v>5.817011554477512E-6</v>
      </c>
      <c r="E85" s="33">
        <f t="shared" si="7"/>
        <v>2.4118481615718499E-3</v>
      </c>
      <c r="O85" s="34">
        <f t="shared" si="8"/>
        <v>-1.8955832778474114E-2</v>
      </c>
      <c r="P85" s="34">
        <f t="shared" si="9"/>
        <v>-2.4118481615718499E-3</v>
      </c>
    </row>
    <row r="86" spans="2:16" x14ac:dyDescent="0.2">
      <c r="B86" s="12" t="s">
        <v>153</v>
      </c>
      <c r="C86" s="32">
        <f>'1.RETURNS'!D86</f>
        <v>3.7166431063246361E-3</v>
      </c>
      <c r="D86" s="30">
        <f t="shared" si="6"/>
        <v>1.381343597979044E-5</v>
      </c>
      <c r="E86" s="30">
        <f t="shared" si="7"/>
        <v>3.7166431063246361E-3</v>
      </c>
      <c r="O86" s="34">
        <f t="shared" si="8"/>
        <v>-2.4118481615718499E-3</v>
      </c>
      <c r="P86" s="34">
        <f t="shared" si="9"/>
        <v>3.7166431063246361E-3</v>
      </c>
    </row>
    <row r="87" spans="2:16" x14ac:dyDescent="0.2">
      <c r="B87" s="17" t="s">
        <v>154</v>
      </c>
      <c r="C87" s="32">
        <f>'1.RETURNS'!D87</f>
        <v>1.5530909074699869E-2</v>
      </c>
      <c r="D87" s="33">
        <f t="shared" si="6"/>
        <v>2.4120913668659473E-4</v>
      </c>
      <c r="E87" s="33">
        <f t="shared" si="7"/>
        <v>1.5530909074699869E-2</v>
      </c>
      <c r="O87" s="34">
        <f t="shared" si="8"/>
        <v>3.7166431063246361E-3</v>
      </c>
      <c r="P87" s="34">
        <f t="shared" si="9"/>
        <v>1.5530909074699869E-2</v>
      </c>
    </row>
    <row r="88" spans="2:16" x14ac:dyDescent="0.2">
      <c r="B88" s="12" t="s">
        <v>155</v>
      </c>
      <c r="C88" s="32">
        <f>'1.RETURNS'!D88</f>
        <v>-5.5963470604531978E-3</v>
      </c>
      <c r="D88" s="30">
        <f t="shared" si="6"/>
        <v>3.1319100421043147E-5</v>
      </c>
      <c r="E88" s="30">
        <f t="shared" si="7"/>
        <v>5.5963470604531978E-3</v>
      </c>
      <c r="O88" s="34">
        <f t="shared" si="8"/>
        <v>1.5530909074699869E-2</v>
      </c>
      <c r="P88" s="34">
        <f t="shared" si="9"/>
        <v>-5.5963470604531978E-3</v>
      </c>
    </row>
    <row r="89" spans="2:16" x14ac:dyDescent="0.2">
      <c r="B89" s="17" t="s">
        <v>156</v>
      </c>
      <c r="C89" s="32">
        <f>'1.RETURNS'!D89</f>
        <v>-7.6156549220539856E-3</v>
      </c>
      <c r="D89" s="33">
        <f t="shared" si="6"/>
        <v>5.7998199891805097E-5</v>
      </c>
      <c r="E89" s="33">
        <f t="shared" si="7"/>
        <v>7.6156549220539856E-3</v>
      </c>
      <c r="O89" s="34">
        <f t="shared" si="8"/>
        <v>-5.5963470604531978E-3</v>
      </c>
      <c r="P89" s="34">
        <f t="shared" si="9"/>
        <v>-7.6156549220539856E-3</v>
      </c>
    </row>
    <row r="90" spans="2:16" x14ac:dyDescent="0.2">
      <c r="B90" s="12" t="s">
        <v>157</v>
      </c>
      <c r="C90" s="32">
        <f>'1.RETURNS'!D90</f>
        <v>-5.1642019311587337E-3</v>
      </c>
      <c r="D90" s="30">
        <f t="shared" si="6"/>
        <v>2.6668981585783595E-5</v>
      </c>
      <c r="E90" s="30">
        <f t="shared" si="7"/>
        <v>5.1642019311587337E-3</v>
      </c>
      <c r="O90" s="34">
        <f t="shared" si="8"/>
        <v>-7.6156549220539856E-3</v>
      </c>
      <c r="P90" s="34">
        <f t="shared" si="9"/>
        <v>-5.1642019311587337E-3</v>
      </c>
    </row>
    <row r="91" spans="2:16" x14ac:dyDescent="0.2">
      <c r="B91" s="17" t="s">
        <v>158</v>
      </c>
      <c r="C91" s="32">
        <f>'1.RETURNS'!D91</f>
        <v>9.2171641973083675E-3</v>
      </c>
      <c r="D91" s="33">
        <f t="shared" si="6"/>
        <v>8.4956115840143201E-5</v>
      </c>
      <c r="E91" s="33">
        <f t="shared" si="7"/>
        <v>9.2171641973083675E-3</v>
      </c>
      <c r="O91" s="34">
        <f t="shared" si="8"/>
        <v>-5.1642019311587337E-3</v>
      </c>
      <c r="P91" s="34">
        <f t="shared" si="9"/>
        <v>9.2171641973083675E-3</v>
      </c>
    </row>
    <row r="92" spans="2:16" x14ac:dyDescent="0.2">
      <c r="B92" s="12" t="s">
        <v>159</v>
      </c>
      <c r="C92" s="32">
        <f>'1.RETURNS'!D92</f>
        <v>3.7032218796640938E-3</v>
      </c>
      <c r="D92" s="30">
        <f t="shared" si="6"/>
        <v>1.3713852290022864E-5</v>
      </c>
      <c r="E92" s="30">
        <f t="shared" si="7"/>
        <v>3.7032218796640938E-3</v>
      </c>
      <c r="O92" s="34">
        <f t="shared" si="8"/>
        <v>9.2171641973083675E-3</v>
      </c>
      <c r="P92" s="34">
        <f t="shared" si="9"/>
        <v>3.7032218796640938E-3</v>
      </c>
    </row>
    <row r="93" spans="2:16" x14ac:dyDescent="0.2">
      <c r="B93" s="17" t="s">
        <v>160</v>
      </c>
      <c r="C93" s="32">
        <f>'1.RETURNS'!D93</f>
        <v>-5.2343263201731025E-3</v>
      </c>
      <c r="D93" s="33">
        <f t="shared" si="6"/>
        <v>2.7398172026056893E-5</v>
      </c>
      <c r="E93" s="33">
        <f t="shared" si="7"/>
        <v>5.2343263201731025E-3</v>
      </c>
      <c r="O93" s="34">
        <f t="shared" si="8"/>
        <v>3.7032218796640938E-3</v>
      </c>
      <c r="P93" s="34">
        <f t="shared" si="9"/>
        <v>-5.2343263201731025E-3</v>
      </c>
    </row>
    <row r="94" spans="2:16" x14ac:dyDescent="0.2">
      <c r="B94" s="12" t="s">
        <v>161</v>
      </c>
      <c r="C94" s="32">
        <f>'1.RETURNS'!D94</f>
        <v>5.6819826799638026E-3</v>
      </c>
      <c r="D94" s="30">
        <f t="shared" si="6"/>
        <v>3.2284927175408638E-5</v>
      </c>
      <c r="E94" s="30">
        <f t="shared" si="7"/>
        <v>5.6819826799638026E-3</v>
      </c>
      <c r="O94" s="34">
        <f t="shared" si="8"/>
        <v>-5.2343263201731025E-3</v>
      </c>
      <c r="P94" s="34">
        <f t="shared" si="9"/>
        <v>5.6819826799638026E-3</v>
      </c>
    </row>
    <row r="95" spans="2:16" x14ac:dyDescent="0.2">
      <c r="B95" s="17" t="s">
        <v>162</v>
      </c>
      <c r="C95" s="32">
        <f>'1.RETURNS'!D95</f>
        <v>1.2609322099685217E-3</v>
      </c>
      <c r="D95" s="33">
        <f t="shared" si="6"/>
        <v>1.5899500381361E-6</v>
      </c>
      <c r="E95" s="33">
        <f t="shared" si="7"/>
        <v>1.2609322099685217E-3</v>
      </c>
      <c r="O95" s="34">
        <f t="shared" si="8"/>
        <v>5.6819826799638026E-3</v>
      </c>
      <c r="P95" s="34">
        <f t="shared" si="9"/>
        <v>1.2609322099685217E-3</v>
      </c>
    </row>
    <row r="96" spans="2:16" x14ac:dyDescent="0.2">
      <c r="B96" s="12" t="s">
        <v>163</v>
      </c>
      <c r="C96" s="32">
        <f>'1.RETURNS'!D96</f>
        <v>9.7575368809928315E-3</v>
      </c>
      <c r="D96" s="30">
        <f t="shared" si="6"/>
        <v>9.520952598393531E-5</v>
      </c>
      <c r="E96" s="30">
        <f t="shared" si="7"/>
        <v>9.7575368809928315E-3</v>
      </c>
      <c r="O96" s="34">
        <f t="shared" si="8"/>
        <v>1.2609322099685217E-3</v>
      </c>
      <c r="P96" s="34">
        <f t="shared" si="9"/>
        <v>9.7575368809928315E-3</v>
      </c>
    </row>
    <row r="97" spans="2:16" x14ac:dyDescent="0.2">
      <c r="B97" s="17" t="s">
        <v>164</v>
      </c>
      <c r="C97" s="32">
        <f>'1.RETURNS'!D97</f>
        <v>-7.2143446011480343E-3</v>
      </c>
      <c r="D97" s="33">
        <f t="shared" si="6"/>
        <v>5.2046768024113792E-5</v>
      </c>
      <c r="E97" s="33">
        <f t="shared" si="7"/>
        <v>7.2143446011480343E-3</v>
      </c>
      <c r="O97" s="34">
        <f t="shared" si="8"/>
        <v>9.7575368809928315E-3</v>
      </c>
      <c r="P97" s="34">
        <f t="shared" si="9"/>
        <v>-7.2143446011480343E-3</v>
      </c>
    </row>
    <row r="98" spans="2:16" x14ac:dyDescent="0.2">
      <c r="B98" s="12" t="s">
        <v>165</v>
      </c>
      <c r="C98" s="32">
        <f>'1.RETURNS'!D98</f>
        <v>-3.0782994864755513E-3</v>
      </c>
      <c r="D98" s="30">
        <f t="shared" si="6"/>
        <v>9.4759277284356434E-6</v>
      </c>
      <c r="E98" s="30">
        <f t="shared" si="7"/>
        <v>3.0782994864755513E-3</v>
      </c>
      <c r="O98" s="34">
        <f t="shared" si="8"/>
        <v>-7.2143446011480343E-3</v>
      </c>
      <c r="P98" s="34">
        <f t="shared" si="9"/>
        <v>-3.0782994864755513E-3</v>
      </c>
    </row>
    <row r="99" spans="2:16" x14ac:dyDescent="0.2">
      <c r="B99" s="17" t="s">
        <v>166</v>
      </c>
      <c r="C99" s="32">
        <f>'1.RETURNS'!D99</f>
        <v>-3.5484565478974043E-3</v>
      </c>
      <c r="D99" s="33">
        <f t="shared" si="6"/>
        <v>1.2591543872315963E-5</v>
      </c>
      <c r="E99" s="33">
        <f t="shared" si="7"/>
        <v>3.5484565478974043E-3</v>
      </c>
      <c r="O99" s="34">
        <f t="shared" si="8"/>
        <v>-3.0782994864755513E-3</v>
      </c>
      <c r="P99" s="34">
        <f t="shared" si="9"/>
        <v>-3.5484565478974043E-3</v>
      </c>
    </row>
    <row r="100" spans="2:16" x14ac:dyDescent="0.2">
      <c r="B100" s="12" t="s">
        <v>167</v>
      </c>
      <c r="C100" s="32">
        <f>'1.RETURNS'!D100</f>
        <v>-1.4524548662615353E-2</v>
      </c>
      <c r="D100" s="30">
        <f t="shared" si="6"/>
        <v>2.1096251385268144E-4</v>
      </c>
      <c r="E100" s="30">
        <f t="shared" si="7"/>
        <v>1.4524548662615353E-2</v>
      </c>
      <c r="O100" s="34">
        <f t="shared" si="8"/>
        <v>-3.5484565478974043E-3</v>
      </c>
      <c r="P100" s="34">
        <f t="shared" si="9"/>
        <v>-1.4524548662615353E-2</v>
      </c>
    </row>
    <row r="101" spans="2:16" x14ac:dyDescent="0.2">
      <c r="B101" s="17" t="s">
        <v>168</v>
      </c>
      <c r="C101" s="32">
        <f>'1.RETURNS'!D101</f>
        <v>3.6557896181593878E-3</v>
      </c>
      <c r="D101" s="33">
        <f t="shared" si="6"/>
        <v>1.3364797732241963E-5</v>
      </c>
      <c r="E101" s="33">
        <f t="shared" si="7"/>
        <v>3.6557896181593878E-3</v>
      </c>
      <c r="O101" s="34">
        <f t="shared" si="8"/>
        <v>-1.4524548662615353E-2</v>
      </c>
      <c r="P101" s="34">
        <f t="shared" si="9"/>
        <v>3.6557896181593878E-3</v>
      </c>
    </row>
    <row r="102" spans="2:16" x14ac:dyDescent="0.2">
      <c r="B102" s="12" t="s">
        <v>169</v>
      </c>
      <c r="C102" s="32">
        <f>'1.RETURNS'!D102</f>
        <v>2.9352530738064706E-3</v>
      </c>
      <c r="D102" s="30">
        <f t="shared" si="6"/>
        <v>8.6157106072903345E-6</v>
      </c>
      <c r="E102" s="30">
        <f t="shared" si="7"/>
        <v>2.9352530738064706E-3</v>
      </c>
      <c r="O102" s="34">
        <f t="shared" si="8"/>
        <v>3.6557896181593878E-3</v>
      </c>
      <c r="P102" s="34">
        <f t="shared" si="9"/>
        <v>2.9352530738064706E-3</v>
      </c>
    </row>
    <row r="103" spans="2:16" x14ac:dyDescent="0.2">
      <c r="B103" s="17" t="s">
        <v>170</v>
      </c>
      <c r="C103" s="32">
        <f>'1.RETURNS'!D103</f>
        <v>3.1758940288275392E-4</v>
      </c>
      <c r="D103" s="33">
        <f t="shared" si="6"/>
        <v>1.0086302882342418E-7</v>
      </c>
      <c r="E103" s="33">
        <f t="shared" si="7"/>
        <v>3.1758940288275392E-4</v>
      </c>
      <c r="O103" s="34">
        <f t="shared" si="8"/>
        <v>2.9352530738064706E-3</v>
      </c>
      <c r="P103" s="34">
        <f t="shared" si="9"/>
        <v>3.1758940288275392E-4</v>
      </c>
    </row>
    <row r="104" spans="2:16" x14ac:dyDescent="0.2">
      <c r="B104" s="12" t="s">
        <v>171</v>
      </c>
      <c r="C104" s="32">
        <f>'1.RETURNS'!D104</f>
        <v>-1.8805393851591336E-3</v>
      </c>
      <c r="D104" s="30">
        <f t="shared" si="6"/>
        <v>3.5364283791346925E-6</v>
      </c>
      <c r="E104" s="30">
        <f t="shared" si="7"/>
        <v>1.8805393851591336E-3</v>
      </c>
      <c r="O104" s="34">
        <f t="shared" si="8"/>
        <v>3.1758940288275392E-4</v>
      </c>
      <c r="P104" s="34">
        <f t="shared" si="9"/>
        <v>-1.8805393851591336E-3</v>
      </c>
    </row>
    <row r="105" spans="2:16" x14ac:dyDescent="0.2">
      <c r="B105" s="17" t="s">
        <v>172</v>
      </c>
      <c r="C105" s="32">
        <f>'1.RETURNS'!D105</f>
        <v>-1.3522654709236045E-2</v>
      </c>
      <c r="D105" s="33">
        <f t="shared" si="6"/>
        <v>1.8286219038522378E-4</v>
      </c>
      <c r="E105" s="33">
        <f t="shared" si="7"/>
        <v>1.3522654709236045E-2</v>
      </c>
      <c r="O105" s="34">
        <f t="shared" si="8"/>
        <v>-1.8805393851591336E-3</v>
      </c>
      <c r="P105" s="34">
        <f t="shared" si="9"/>
        <v>-1.3522654709236045E-2</v>
      </c>
    </row>
    <row r="106" spans="2:16" x14ac:dyDescent="0.2">
      <c r="B106" s="12" t="s">
        <v>173</v>
      </c>
      <c r="C106" s="32">
        <f>'1.RETURNS'!D106</f>
        <v>-4.2597739168118275E-3</v>
      </c>
      <c r="D106" s="30">
        <f t="shared" si="6"/>
        <v>1.8145673822350378E-5</v>
      </c>
      <c r="E106" s="30">
        <f t="shared" si="7"/>
        <v>4.2597739168118275E-3</v>
      </c>
      <c r="O106" s="34">
        <f t="shared" si="8"/>
        <v>-1.3522654709236045E-2</v>
      </c>
      <c r="P106" s="34">
        <f t="shared" si="9"/>
        <v>-4.2597739168118275E-3</v>
      </c>
    </row>
    <row r="107" spans="2:16" x14ac:dyDescent="0.2">
      <c r="B107" s="17" t="s">
        <v>174</v>
      </c>
      <c r="C107" s="32">
        <f>'1.RETURNS'!D107</f>
        <v>-3.1870911806153677E-3</v>
      </c>
      <c r="D107" s="33">
        <f t="shared" si="6"/>
        <v>1.0157550193556258E-5</v>
      </c>
      <c r="E107" s="33">
        <f t="shared" si="7"/>
        <v>3.1870911806153677E-3</v>
      </c>
      <c r="O107" s="34">
        <f t="shared" si="8"/>
        <v>-4.2597739168118275E-3</v>
      </c>
      <c r="P107" s="34">
        <f t="shared" si="9"/>
        <v>-3.1870911806153677E-3</v>
      </c>
    </row>
    <row r="108" spans="2:16" x14ac:dyDescent="0.2">
      <c r="B108" s="12" t="s">
        <v>175</v>
      </c>
      <c r="C108" s="32">
        <f>'1.RETURNS'!D108</f>
        <v>-7.6366518517654268E-3</v>
      </c>
      <c r="D108" s="30">
        <f t="shared" si="6"/>
        <v>5.8318451505072323E-5</v>
      </c>
      <c r="E108" s="30">
        <f t="shared" si="7"/>
        <v>7.6366518517654268E-3</v>
      </c>
      <c r="O108" s="34">
        <f t="shared" si="8"/>
        <v>-3.1870911806153677E-3</v>
      </c>
      <c r="P108" s="34">
        <f t="shared" si="9"/>
        <v>-7.6366518517654268E-3</v>
      </c>
    </row>
    <row r="109" spans="2:16" x14ac:dyDescent="0.2">
      <c r="B109" s="17" t="s">
        <v>176</v>
      </c>
      <c r="C109" s="32">
        <f>'1.RETURNS'!D109</f>
        <v>-1.4816968508920779E-3</v>
      </c>
      <c r="D109" s="33">
        <f t="shared" si="6"/>
        <v>2.1954255579435007E-6</v>
      </c>
      <c r="E109" s="33">
        <f t="shared" si="7"/>
        <v>1.4816968508920779E-3</v>
      </c>
      <c r="O109" s="34">
        <f t="shared" si="8"/>
        <v>-7.6366518517654268E-3</v>
      </c>
      <c r="P109" s="34">
        <f t="shared" si="9"/>
        <v>-1.4816968508920779E-3</v>
      </c>
    </row>
    <row r="110" spans="2:16" x14ac:dyDescent="0.2">
      <c r="B110" s="12" t="s">
        <v>177</v>
      </c>
      <c r="C110" s="32">
        <f>'1.RETURNS'!D110</f>
        <v>4.1368001936994891E-3</v>
      </c>
      <c r="D110" s="30">
        <f t="shared" si="6"/>
        <v>1.7113115842592131E-5</v>
      </c>
      <c r="E110" s="30">
        <f t="shared" si="7"/>
        <v>4.1368001936994891E-3</v>
      </c>
      <c r="O110" s="34">
        <f t="shared" si="8"/>
        <v>-1.4816968508920779E-3</v>
      </c>
      <c r="P110" s="34">
        <f t="shared" si="9"/>
        <v>4.1368001936994891E-3</v>
      </c>
    </row>
    <row r="111" spans="2:16" x14ac:dyDescent="0.2">
      <c r="B111" s="17" t="s">
        <v>178</v>
      </c>
      <c r="C111" s="32">
        <f>'1.RETURNS'!D111</f>
        <v>1.8517186974588037E-2</v>
      </c>
      <c r="D111" s="33">
        <f t="shared" si="6"/>
        <v>3.4288621345185286E-4</v>
      </c>
      <c r="E111" s="33">
        <f t="shared" si="7"/>
        <v>1.8517186974588037E-2</v>
      </c>
      <c r="O111" s="34">
        <f t="shared" si="8"/>
        <v>4.1368001936994891E-3</v>
      </c>
      <c r="P111" s="34">
        <f t="shared" si="9"/>
        <v>1.8517186974588037E-2</v>
      </c>
    </row>
    <row r="112" spans="2:16" x14ac:dyDescent="0.2">
      <c r="B112" s="12" t="s">
        <v>179</v>
      </c>
      <c r="C112" s="32">
        <f>'1.RETURNS'!D112</f>
        <v>2.2459056846994264E-3</v>
      </c>
      <c r="D112" s="30">
        <f t="shared" si="6"/>
        <v>5.0440923445651996E-6</v>
      </c>
      <c r="E112" s="30">
        <f t="shared" si="7"/>
        <v>2.2459056846994264E-3</v>
      </c>
      <c r="O112" s="34">
        <f t="shared" si="8"/>
        <v>1.8517186974588037E-2</v>
      </c>
      <c r="P112" s="34">
        <f t="shared" si="9"/>
        <v>2.2459056846994264E-3</v>
      </c>
    </row>
    <row r="113" spans="2:16" x14ac:dyDescent="0.2">
      <c r="B113" s="17" t="s">
        <v>180</v>
      </c>
      <c r="C113" s="32">
        <f>'1.RETURNS'!D113</f>
        <v>2.8498318582551702E-3</v>
      </c>
      <c r="D113" s="33">
        <f t="shared" si="6"/>
        <v>8.121541620326116E-6</v>
      </c>
      <c r="E113" s="33">
        <f t="shared" si="7"/>
        <v>2.8498318582551702E-3</v>
      </c>
      <c r="O113" s="34">
        <f t="shared" si="8"/>
        <v>2.2459056846994264E-3</v>
      </c>
      <c r="P113" s="34">
        <f t="shared" si="9"/>
        <v>2.8498318582551702E-3</v>
      </c>
    </row>
    <row r="114" spans="2:16" x14ac:dyDescent="0.2">
      <c r="B114" s="12" t="s">
        <v>181</v>
      </c>
      <c r="C114" s="32">
        <f>'1.RETURNS'!D114</f>
        <v>-4.7360269968887991E-4</v>
      </c>
      <c r="D114" s="30">
        <f t="shared" si="6"/>
        <v>2.2429951715259538E-7</v>
      </c>
      <c r="E114" s="30">
        <f t="shared" si="7"/>
        <v>4.7360269968887991E-4</v>
      </c>
      <c r="O114" s="34">
        <f t="shared" si="8"/>
        <v>2.8498318582551702E-3</v>
      </c>
      <c r="P114" s="34">
        <f t="shared" si="9"/>
        <v>-4.7360269968887991E-4</v>
      </c>
    </row>
    <row r="115" spans="2:16" x14ac:dyDescent="0.2">
      <c r="B115" s="17" t="s">
        <v>182</v>
      </c>
      <c r="C115" s="32">
        <f>'1.RETURNS'!D115</f>
        <v>-1.7414767249476184E-2</v>
      </c>
      <c r="D115" s="33">
        <f t="shared" si="6"/>
        <v>3.0327411835342826E-4</v>
      </c>
      <c r="E115" s="33">
        <f t="shared" si="7"/>
        <v>1.7414767249476184E-2</v>
      </c>
      <c r="O115" s="34">
        <f t="shared" si="8"/>
        <v>-4.7360269968887991E-4</v>
      </c>
      <c r="P115" s="34">
        <f t="shared" si="9"/>
        <v>-1.7414767249476184E-2</v>
      </c>
    </row>
    <row r="116" spans="2:16" x14ac:dyDescent="0.2">
      <c r="B116" s="12" t="s">
        <v>183</v>
      </c>
      <c r="C116" s="32">
        <f>'1.RETURNS'!D116</f>
        <v>-4.426966127051383E-5</v>
      </c>
      <c r="D116" s="30">
        <f t="shared" si="6"/>
        <v>1.9598029090060322E-9</v>
      </c>
      <c r="E116" s="30">
        <f t="shared" si="7"/>
        <v>4.426966127051383E-5</v>
      </c>
      <c r="O116" s="34">
        <f t="shared" si="8"/>
        <v>-1.7414767249476184E-2</v>
      </c>
      <c r="P116" s="34">
        <f t="shared" si="9"/>
        <v>-4.426966127051383E-5</v>
      </c>
    </row>
    <row r="117" spans="2:16" x14ac:dyDescent="0.2">
      <c r="B117" s="17" t="s">
        <v>184</v>
      </c>
      <c r="C117" s="32">
        <f>'1.RETURNS'!D117</f>
        <v>8.5553299020116216E-4</v>
      </c>
      <c r="D117" s="33">
        <f t="shared" si="6"/>
        <v>7.3193669732254185E-7</v>
      </c>
      <c r="E117" s="33">
        <f t="shared" si="7"/>
        <v>8.5553299020116216E-4</v>
      </c>
      <c r="O117" s="34">
        <f t="shared" si="8"/>
        <v>-4.426966127051383E-5</v>
      </c>
      <c r="P117" s="34">
        <f t="shared" si="9"/>
        <v>8.5553299020116216E-4</v>
      </c>
    </row>
    <row r="118" spans="2:16" x14ac:dyDescent="0.2">
      <c r="B118" s="12" t="s">
        <v>185</v>
      </c>
      <c r="C118" s="32">
        <f>'1.RETURNS'!D118</f>
        <v>2.3033526640812738E-2</v>
      </c>
      <c r="D118" s="30">
        <f t="shared" si="6"/>
        <v>5.3054334951303014E-4</v>
      </c>
      <c r="E118" s="30">
        <f t="shared" si="7"/>
        <v>2.3033526640812738E-2</v>
      </c>
      <c r="O118" s="34">
        <f t="shared" si="8"/>
        <v>8.5553299020116216E-4</v>
      </c>
      <c r="P118" s="34">
        <f t="shared" si="9"/>
        <v>2.3033526640812738E-2</v>
      </c>
    </row>
    <row r="119" spans="2:16" x14ac:dyDescent="0.2">
      <c r="B119" s="17" t="s">
        <v>186</v>
      </c>
      <c r="C119" s="32">
        <f>'1.RETURNS'!D119</f>
        <v>-2.1828715821635221E-3</v>
      </c>
      <c r="D119" s="33">
        <f t="shared" si="6"/>
        <v>4.7649283442170778E-6</v>
      </c>
      <c r="E119" s="33">
        <f t="shared" si="7"/>
        <v>2.1828715821635221E-3</v>
      </c>
      <c r="O119" s="34">
        <f t="shared" si="8"/>
        <v>2.3033526640812738E-2</v>
      </c>
      <c r="P119" s="34">
        <f t="shared" si="9"/>
        <v>-2.1828715821635221E-3</v>
      </c>
    </row>
    <row r="120" spans="2:16" x14ac:dyDescent="0.2">
      <c r="B120" s="12" t="s">
        <v>187</v>
      </c>
      <c r="C120" s="32">
        <f>'1.RETURNS'!D120</f>
        <v>3.2749219250035968E-3</v>
      </c>
      <c r="D120" s="30">
        <f t="shared" si="6"/>
        <v>1.0725113614869264E-5</v>
      </c>
      <c r="E120" s="30">
        <f t="shared" si="7"/>
        <v>3.2749219250035968E-3</v>
      </c>
      <c r="O120" s="34">
        <f t="shared" si="8"/>
        <v>-2.1828715821635221E-3</v>
      </c>
      <c r="P120" s="34">
        <f t="shared" si="9"/>
        <v>3.2749219250035968E-3</v>
      </c>
    </row>
    <row r="121" spans="2:16" x14ac:dyDescent="0.2">
      <c r="B121" s="17" t="s">
        <v>188</v>
      </c>
      <c r="C121" s="32">
        <f>'1.RETURNS'!D121</f>
        <v>-5.9971813265716448E-5</v>
      </c>
      <c r="D121" s="33">
        <f t="shared" si="6"/>
        <v>3.5966183863779635E-9</v>
      </c>
      <c r="E121" s="33">
        <f t="shared" si="7"/>
        <v>5.9971813265716448E-5</v>
      </c>
      <c r="O121" s="34">
        <f t="shared" si="8"/>
        <v>3.2749219250035968E-3</v>
      </c>
      <c r="P121" s="34">
        <f t="shared" si="9"/>
        <v>-5.9971813265716448E-5</v>
      </c>
    </row>
    <row r="122" spans="2:16" x14ac:dyDescent="0.2">
      <c r="B122" s="12" t="s">
        <v>189</v>
      </c>
      <c r="C122" s="32">
        <f>'1.RETURNS'!D122</f>
        <v>1.2508700586033395E-2</v>
      </c>
      <c r="D122" s="30">
        <f t="shared" si="6"/>
        <v>1.564675903510322E-4</v>
      </c>
      <c r="E122" s="30">
        <f t="shared" si="7"/>
        <v>1.2508700586033395E-2</v>
      </c>
      <c r="O122" s="34">
        <f t="shared" si="8"/>
        <v>-5.9971813265716448E-5</v>
      </c>
      <c r="P122" s="34">
        <f t="shared" si="9"/>
        <v>1.2508700586033395E-2</v>
      </c>
    </row>
    <row r="123" spans="2:16" x14ac:dyDescent="0.2">
      <c r="B123" s="17" t="s">
        <v>190</v>
      </c>
      <c r="C123" s="32">
        <f>'1.RETURNS'!D123</f>
        <v>-3.6606252165093972E-2</v>
      </c>
      <c r="D123" s="33">
        <f t="shared" si="6"/>
        <v>1.3400176975744472E-3</v>
      </c>
      <c r="E123" s="33">
        <f t="shared" si="7"/>
        <v>3.6606252165093972E-2</v>
      </c>
      <c r="O123" s="34">
        <f t="shared" si="8"/>
        <v>1.2508700586033395E-2</v>
      </c>
      <c r="P123" s="34">
        <f t="shared" si="9"/>
        <v>-3.6606252165093972E-2</v>
      </c>
    </row>
    <row r="124" spans="2:16" x14ac:dyDescent="0.2">
      <c r="B124" s="12" t="s">
        <v>191</v>
      </c>
      <c r="C124" s="32">
        <f>'1.RETURNS'!D124</f>
        <v>1.0214898094171075E-2</v>
      </c>
      <c r="D124" s="30">
        <f t="shared" si="6"/>
        <v>1.0434414307429987E-4</v>
      </c>
      <c r="E124" s="30">
        <f t="shared" si="7"/>
        <v>1.0214898094171075E-2</v>
      </c>
      <c r="O124" s="34">
        <f t="shared" si="8"/>
        <v>-3.6606252165093972E-2</v>
      </c>
      <c r="P124" s="34">
        <f t="shared" si="9"/>
        <v>1.0214898094171075E-2</v>
      </c>
    </row>
    <row r="125" spans="2:16" x14ac:dyDescent="0.2">
      <c r="B125" s="17" t="s">
        <v>192</v>
      </c>
      <c r="C125" s="32">
        <f>'1.RETURNS'!D125</f>
        <v>-2.3835530640385981E-2</v>
      </c>
      <c r="D125" s="33">
        <f t="shared" si="6"/>
        <v>5.6813252090877895E-4</v>
      </c>
      <c r="E125" s="33">
        <f t="shared" si="7"/>
        <v>2.3835530640385981E-2</v>
      </c>
      <c r="O125" s="34">
        <f t="shared" si="8"/>
        <v>1.0214898094171075E-2</v>
      </c>
      <c r="P125" s="34">
        <f t="shared" si="9"/>
        <v>-2.3835530640385981E-2</v>
      </c>
    </row>
    <row r="126" spans="2:16" x14ac:dyDescent="0.2">
      <c r="B126" s="12" t="s">
        <v>193</v>
      </c>
      <c r="C126" s="32">
        <f>'1.RETURNS'!D126</f>
        <v>1.1507447235039049E-2</v>
      </c>
      <c r="D126" s="30">
        <f t="shared" si="6"/>
        <v>1.3242134186720785E-4</v>
      </c>
      <c r="E126" s="30">
        <f t="shared" si="7"/>
        <v>1.1507447235039049E-2</v>
      </c>
      <c r="O126" s="34">
        <f t="shared" si="8"/>
        <v>-2.3835530640385981E-2</v>
      </c>
      <c r="P126" s="34">
        <f t="shared" si="9"/>
        <v>1.1507447235039049E-2</v>
      </c>
    </row>
    <row r="127" spans="2:16" x14ac:dyDescent="0.2">
      <c r="B127" s="17" t="s">
        <v>194</v>
      </c>
      <c r="C127" s="32">
        <f>'1.RETURNS'!D127</f>
        <v>-4.4243130391294481E-2</v>
      </c>
      <c r="D127" s="33">
        <f t="shared" si="6"/>
        <v>1.9574545868210852E-3</v>
      </c>
      <c r="E127" s="33">
        <f t="shared" si="7"/>
        <v>4.4243130391294481E-2</v>
      </c>
      <c r="O127" s="34">
        <f t="shared" si="8"/>
        <v>1.1507447235039049E-2</v>
      </c>
      <c r="P127" s="34">
        <f t="shared" si="9"/>
        <v>-4.4243130391294481E-2</v>
      </c>
    </row>
    <row r="128" spans="2:16" x14ac:dyDescent="0.2">
      <c r="B128" s="12" t="s">
        <v>195</v>
      </c>
      <c r="C128" s="32">
        <f>'1.RETURNS'!D128</f>
        <v>1.9656652549551592E-2</v>
      </c>
      <c r="D128" s="30">
        <f t="shared" si="6"/>
        <v>3.8638398945379311E-4</v>
      </c>
      <c r="E128" s="30">
        <f t="shared" si="7"/>
        <v>1.9656652549551592E-2</v>
      </c>
      <c r="O128" s="34">
        <f t="shared" si="8"/>
        <v>-4.4243130391294481E-2</v>
      </c>
      <c r="P128" s="34">
        <f t="shared" si="9"/>
        <v>1.9656652549551592E-2</v>
      </c>
    </row>
    <row r="129" spans="2:16" x14ac:dyDescent="0.2">
      <c r="B129" s="17" t="s">
        <v>196</v>
      </c>
      <c r="C129" s="32">
        <f>'1.RETURNS'!D129</f>
        <v>-1.9955287583719825E-2</v>
      </c>
      <c r="D129" s="33">
        <f t="shared" si="6"/>
        <v>3.9821350254896259E-4</v>
      </c>
      <c r="E129" s="33">
        <f t="shared" si="7"/>
        <v>1.9955287583719825E-2</v>
      </c>
      <c r="O129" s="34">
        <f t="shared" si="8"/>
        <v>1.9656652549551592E-2</v>
      </c>
      <c r="P129" s="34">
        <f t="shared" si="9"/>
        <v>-1.9955287583719825E-2</v>
      </c>
    </row>
    <row r="130" spans="2:16" x14ac:dyDescent="0.2">
      <c r="B130" s="12" t="s">
        <v>197</v>
      </c>
      <c r="C130" s="32">
        <f>'1.RETURNS'!D130</f>
        <v>2.730571944294622E-2</v>
      </c>
      <c r="D130" s="30">
        <f t="shared" si="6"/>
        <v>7.456023142968913E-4</v>
      </c>
      <c r="E130" s="30">
        <f t="shared" si="7"/>
        <v>2.730571944294622E-2</v>
      </c>
      <c r="O130" s="34">
        <f t="shared" si="8"/>
        <v>-1.9955287583719825E-2</v>
      </c>
      <c r="P130" s="34">
        <f t="shared" si="9"/>
        <v>2.730571944294622E-2</v>
      </c>
    </row>
    <row r="131" spans="2:16" x14ac:dyDescent="0.2">
      <c r="B131" s="17" t="s">
        <v>198</v>
      </c>
      <c r="C131" s="32">
        <f>'1.RETURNS'!D131</f>
        <v>-3.2251292197015106E-2</v>
      </c>
      <c r="D131" s="33">
        <f t="shared" si="6"/>
        <v>1.0401458483772475E-3</v>
      </c>
      <c r="E131" s="33">
        <f t="shared" si="7"/>
        <v>3.2251292197015106E-2</v>
      </c>
      <c r="O131" s="34">
        <f t="shared" si="8"/>
        <v>2.730571944294622E-2</v>
      </c>
      <c r="P131" s="34">
        <f t="shared" si="9"/>
        <v>-3.2251292197015106E-2</v>
      </c>
    </row>
    <row r="132" spans="2:16" x14ac:dyDescent="0.2">
      <c r="B132" s="12" t="s">
        <v>199</v>
      </c>
      <c r="C132" s="32">
        <f>'1.RETURNS'!D132</f>
        <v>-6.0629526588263389E-3</v>
      </c>
      <c r="D132" s="30">
        <f t="shared" ref="D132:D195" si="10">C132^2</f>
        <v>3.6759394943169373E-5</v>
      </c>
      <c r="E132" s="30">
        <f t="shared" ref="E132:E195" si="11">ABS(C132)</f>
        <v>6.0629526588263389E-3</v>
      </c>
      <c r="O132" s="34">
        <f t="shared" si="8"/>
        <v>-3.2251292197015106E-2</v>
      </c>
      <c r="P132" s="34">
        <f t="shared" si="9"/>
        <v>-6.0629526588263389E-3</v>
      </c>
    </row>
    <row r="133" spans="2:16" x14ac:dyDescent="0.2">
      <c r="B133" s="17" t="s">
        <v>200</v>
      </c>
      <c r="C133" s="32">
        <f>'1.RETURNS'!D133</f>
        <v>1.2904167546731403E-3</v>
      </c>
      <c r="D133" s="33">
        <f t="shared" si="10"/>
        <v>1.6651754007411596E-6</v>
      </c>
      <c r="E133" s="33">
        <f t="shared" si="11"/>
        <v>1.2904167546731403E-3</v>
      </c>
      <c r="O133" s="34">
        <f t="shared" si="8"/>
        <v>-6.0629526588263389E-3</v>
      </c>
      <c r="P133" s="34">
        <f t="shared" si="9"/>
        <v>1.2904167546731403E-3</v>
      </c>
    </row>
    <row r="134" spans="2:16" x14ac:dyDescent="0.2">
      <c r="B134" s="12" t="s">
        <v>201</v>
      </c>
      <c r="C134" s="32">
        <f>'1.RETURNS'!D134</f>
        <v>-4.5681634958848793E-3</v>
      </c>
      <c r="D134" s="30">
        <f t="shared" si="10"/>
        <v>2.0868117725135163E-5</v>
      </c>
      <c r="E134" s="30">
        <f t="shared" si="11"/>
        <v>4.5681634958848793E-3</v>
      </c>
      <c r="O134" s="34">
        <f t="shared" ref="O134:O197" si="12">C133</f>
        <v>1.2904167546731403E-3</v>
      </c>
      <c r="P134" s="34">
        <f t="shared" ref="P134:P197" si="13">C134</f>
        <v>-4.5681634958848793E-3</v>
      </c>
    </row>
    <row r="135" spans="2:16" x14ac:dyDescent="0.2">
      <c r="B135" s="17" t="s">
        <v>202</v>
      </c>
      <c r="C135" s="32">
        <f>'1.RETURNS'!D135</f>
        <v>-1.5928011929515543E-2</v>
      </c>
      <c r="D135" s="33">
        <f t="shared" si="10"/>
        <v>2.5370156402678947E-4</v>
      </c>
      <c r="E135" s="33">
        <f t="shared" si="11"/>
        <v>1.5928011929515543E-2</v>
      </c>
      <c r="O135" s="34">
        <f t="shared" si="12"/>
        <v>-4.5681634958848793E-3</v>
      </c>
      <c r="P135" s="34">
        <f t="shared" si="13"/>
        <v>-1.5928011929515543E-2</v>
      </c>
    </row>
    <row r="136" spans="2:16" x14ac:dyDescent="0.2">
      <c r="B136" s="12" t="s">
        <v>203</v>
      </c>
      <c r="C136" s="32">
        <f>'1.RETURNS'!D136</f>
        <v>1.015892302001534E-3</v>
      </c>
      <c r="D136" s="30">
        <f t="shared" si="10"/>
        <v>1.032037169265976E-6</v>
      </c>
      <c r="E136" s="30">
        <f t="shared" si="11"/>
        <v>1.015892302001534E-3</v>
      </c>
      <c r="O136" s="34">
        <f t="shared" si="12"/>
        <v>-1.5928011929515543E-2</v>
      </c>
      <c r="P136" s="34">
        <f t="shared" si="13"/>
        <v>1.015892302001534E-3</v>
      </c>
    </row>
    <row r="137" spans="2:16" x14ac:dyDescent="0.2">
      <c r="B137" s="17" t="s">
        <v>204</v>
      </c>
      <c r="C137" s="32">
        <f>'1.RETURNS'!D137</f>
        <v>-9.9700023085799415E-3</v>
      </c>
      <c r="D137" s="33">
        <f t="shared" si="10"/>
        <v>9.9400946033089367E-5</v>
      </c>
      <c r="E137" s="33">
        <f t="shared" si="11"/>
        <v>9.9700023085799415E-3</v>
      </c>
      <c r="O137" s="34">
        <f t="shared" si="12"/>
        <v>1.015892302001534E-3</v>
      </c>
      <c r="P137" s="34">
        <f t="shared" si="13"/>
        <v>-9.9700023085799415E-3</v>
      </c>
    </row>
    <row r="138" spans="2:16" x14ac:dyDescent="0.2">
      <c r="B138" s="12" t="s">
        <v>205</v>
      </c>
      <c r="C138" s="32">
        <f>'1.RETURNS'!D138</f>
        <v>5.1332977773813331E-3</v>
      </c>
      <c r="D138" s="30">
        <f t="shared" si="10"/>
        <v>2.6350746071268133E-5</v>
      </c>
      <c r="E138" s="30">
        <f t="shared" si="11"/>
        <v>5.1332977773813331E-3</v>
      </c>
      <c r="O138" s="34">
        <f t="shared" si="12"/>
        <v>-9.9700023085799415E-3</v>
      </c>
      <c r="P138" s="34">
        <f t="shared" si="13"/>
        <v>5.1332977773813331E-3</v>
      </c>
    </row>
    <row r="139" spans="2:16" x14ac:dyDescent="0.2">
      <c r="B139" s="17" t="s">
        <v>206</v>
      </c>
      <c r="C139" s="32">
        <f>'1.RETURNS'!D139</f>
        <v>-9.0315511850697257E-3</v>
      </c>
      <c r="D139" s="33">
        <f t="shared" si="10"/>
        <v>8.1568916808534366E-5</v>
      </c>
      <c r="E139" s="33">
        <f t="shared" si="11"/>
        <v>9.0315511850697257E-3</v>
      </c>
      <c r="O139" s="34">
        <f t="shared" si="12"/>
        <v>5.1332977773813331E-3</v>
      </c>
      <c r="P139" s="34">
        <f t="shared" si="13"/>
        <v>-9.0315511850697257E-3</v>
      </c>
    </row>
    <row r="140" spans="2:16" x14ac:dyDescent="0.2">
      <c r="B140" s="12" t="s">
        <v>207</v>
      </c>
      <c r="C140" s="32">
        <f>'1.RETURNS'!D140</f>
        <v>1.6084779384150327E-2</v>
      </c>
      <c r="D140" s="30">
        <f t="shared" si="10"/>
        <v>2.5872012783678737E-4</v>
      </c>
      <c r="E140" s="30">
        <f t="shared" si="11"/>
        <v>1.6084779384150327E-2</v>
      </c>
      <c r="O140" s="34">
        <f t="shared" si="12"/>
        <v>-9.0315511850697257E-3</v>
      </c>
      <c r="P140" s="34">
        <f t="shared" si="13"/>
        <v>1.6084779384150327E-2</v>
      </c>
    </row>
    <row r="141" spans="2:16" x14ac:dyDescent="0.2">
      <c r="B141" s="17" t="s">
        <v>208</v>
      </c>
      <c r="C141" s="32">
        <f>'1.RETURNS'!D141</f>
        <v>-8.4447868357665351E-3</v>
      </c>
      <c r="D141" s="33">
        <f t="shared" si="10"/>
        <v>7.1314424701535769E-5</v>
      </c>
      <c r="E141" s="33">
        <f t="shared" si="11"/>
        <v>8.4447868357665351E-3</v>
      </c>
      <c r="O141" s="34">
        <f t="shared" si="12"/>
        <v>1.6084779384150327E-2</v>
      </c>
      <c r="P141" s="34">
        <f t="shared" si="13"/>
        <v>-8.4447868357665351E-3</v>
      </c>
    </row>
    <row r="142" spans="2:16" x14ac:dyDescent="0.2">
      <c r="B142" s="12" t="s">
        <v>209</v>
      </c>
      <c r="C142" s="32">
        <f>'1.RETURNS'!D142</f>
        <v>-3.0163517560566969E-3</v>
      </c>
      <c r="D142" s="30">
        <f t="shared" si="10"/>
        <v>9.0983779162663181E-6</v>
      </c>
      <c r="E142" s="30">
        <f t="shared" si="11"/>
        <v>3.0163517560566969E-3</v>
      </c>
      <c r="O142" s="34">
        <f t="shared" si="12"/>
        <v>-8.4447868357665351E-3</v>
      </c>
      <c r="P142" s="34">
        <f t="shared" si="13"/>
        <v>-3.0163517560566969E-3</v>
      </c>
    </row>
    <row r="143" spans="2:16" x14ac:dyDescent="0.2">
      <c r="B143" s="17" t="s">
        <v>210</v>
      </c>
      <c r="C143" s="32">
        <f>'1.RETURNS'!D143</f>
        <v>8.4197785514903232E-3</v>
      </c>
      <c r="D143" s="33">
        <f t="shared" si="10"/>
        <v>7.0892670856136482E-5</v>
      </c>
      <c r="E143" s="33">
        <f t="shared" si="11"/>
        <v>8.4197785514903232E-3</v>
      </c>
      <c r="O143" s="34">
        <f t="shared" si="12"/>
        <v>-3.0163517560566969E-3</v>
      </c>
      <c r="P143" s="34">
        <f t="shared" si="13"/>
        <v>8.4197785514903232E-3</v>
      </c>
    </row>
    <row r="144" spans="2:16" x14ac:dyDescent="0.2">
      <c r="B144" s="12" t="s">
        <v>211</v>
      </c>
      <c r="C144" s="32">
        <f>'1.RETURNS'!D144</f>
        <v>-1.2981594129055977E-2</v>
      </c>
      <c r="D144" s="30">
        <f t="shared" si="10"/>
        <v>1.685217861315406E-4</v>
      </c>
      <c r="E144" s="30">
        <f t="shared" si="11"/>
        <v>1.2981594129055977E-2</v>
      </c>
      <c r="O144" s="34">
        <f t="shared" si="12"/>
        <v>8.4197785514903232E-3</v>
      </c>
      <c r="P144" s="34">
        <f t="shared" si="13"/>
        <v>-1.2981594129055977E-2</v>
      </c>
    </row>
    <row r="145" spans="2:16" x14ac:dyDescent="0.2">
      <c r="B145" s="17" t="s">
        <v>212</v>
      </c>
      <c r="C145" s="32">
        <f>'1.RETURNS'!D145</f>
        <v>2.7942688732837777E-3</v>
      </c>
      <c r="D145" s="33">
        <f t="shared" si="10"/>
        <v>7.8079385362025919E-6</v>
      </c>
      <c r="E145" s="33">
        <f t="shared" si="11"/>
        <v>2.7942688732837777E-3</v>
      </c>
      <c r="O145" s="34">
        <f t="shared" si="12"/>
        <v>-1.2981594129055977E-2</v>
      </c>
      <c r="P145" s="34">
        <f t="shared" si="13"/>
        <v>2.7942688732837777E-3</v>
      </c>
    </row>
    <row r="146" spans="2:16" x14ac:dyDescent="0.2">
      <c r="B146" s="12" t="s">
        <v>213</v>
      </c>
      <c r="C146" s="32">
        <f>'1.RETURNS'!D146</f>
        <v>1.3702071856800254E-2</v>
      </c>
      <c r="D146" s="30">
        <f t="shared" si="10"/>
        <v>1.8774677316891756E-4</v>
      </c>
      <c r="E146" s="30">
        <f t="shared" si="11"/>
        <v>1.3702071856800254E-2</v>
      </c>
      <c r="O146" s="34">
        <f t="shared" si="12"/>
        <v>2.7942688732837777E-3</v>
      </c>
      <c r="P146" s="34">
        <f t="shared" si="13"/>
        <v>1.3702071856800254E-2</v>
      </c>
    </row>
    <row r="147" spans="2:16" x14ac:dyDescent="0.2">
      <c r="B147" s="17" t="s">
        <v>214</v>
      </c>
      <c r="C147" s="32">
        <f>'1.RETURNS'!D147</f>
        <v>-1.7515600523816316E-2</v>
      </c>
      <c r="D147" s="33">
        <f t="shared" si="10"/>
        <v>3.067962617099144E-4</v>
      </c>
      <c r="E147" s="33">
        <f t="shared" si="11"/>
        <v>1.7515600523816316E-2</v>
      </c>
      <c r="O147" s="34">
        <f t="shared" si="12"/>
        <v>1.3702071856800254E-2</v>
      </c>
      <c r="P147" s="34">
        <f t="shared" si="13"/>
        <v>-1.7515600523816316E-2</v>
      </c>
    </row>
    <row r="148" spans="2:16" x14ac:dyDescent="0.2">
      <c r="B148" s="12" t="s">
        <v>215</v>
      </c>
      <c r="C148" s="32">
        <f>'1.RETURNS'!D148</f>
        <v>2.3623423158293739E-3</v>
      </c>
      <c r="D148" s="30">
        <f t="shared" si="10"/>
        <v>5.5806612171580894E-6</v>
      </c>
      <c r="E148" s="30">
        <f t="shared" si="11"/>
        <v>2.3623423158293739E-3</v>
      </c>
      <c r="O148" s="34">
        <f t="shared" si="12"/>
        <v>-1.7515600523816316E-2</v>
      </c>
      <c r="P148" s="34">
        <f t="shared" si="13"/>
        <v>2.3623423158293739E-3</v>
      </c>
    </row>
    <row r="149" spans="2:16" x14ac:dyDescent="0.2">
      <c r="B149" s="17" t="s">
        <v>216</v>
      </c>
      <c r="C149" s="32">
        <f>'1.RETURNS'!D149</f>
        <v>2.9029463961687293E-3</v>
      </c>
      <c r="D149" s="33">
        <f t="shared" si="10"/>
        <v>8.4270977790290133E-6</v>
      </c>
      <c r="E149" s="33">
        <f t="shared" si="11"/>
        <v>2.9029463961687293E-3</v>
      </c>
      <c r="O149" s="34">
        <f t="shared" si="12"/>
        <v>2.3623423158293739E-3</v>
      </c>
      <c r="P149" s="34">
        <f t="shared" si="13"/>
        <v>2.9029463961687293E-3</v>
      </c>
    </row>
    <row r="150" spans="2:16" x14ac:dyDescent="0.2">
      <c r="B150" s="12" t="s">
        <v>217</v>
      </c>
      <c r="C150" s="32">
        <f>'1.RETURNS'!D150</f>
        <v>7.7931994314828406E-3</v>
      </c>
      <c r="D150" s="30">
        <f t="shared" si="10"/>
        <v>6.0733957378864468E-5</v>
      </c>
      <c r="E150" s="30">
        <f t="shared" si="11"/>
        <v>7.7931994314828406E-3</v>
      </c>
      <c r="O150" s="34">
        <f t="shared" si="12"/>
        <v>2.9029463961687293E-3</v>
      </c>
      <c r="P150" s="34">
        <f t="shared" si="13"/>
        <v>7.7931994314828406E-3</v>
      </c>
    </row>
    <row r="151" spans="2:16" x14ac:dyDescent="0.2">
      <c r="B151" s="17" t="s">
        <v>218</v>
      </c>
      <c r="C151" s="32">
        <f>'1.RETURNS'!D151</f>
        <v>-1.3201105988443892E-2</v>
      </c>
      <c r="D151" s="33">
        <f t="shared" si="10"/>
        <v>1.742691993181292E-4</v>
      </c>
      <c r="E151" s="33">
        <f t="shared" si="11"/>
        <v>1.3201105988443892E-2</v>
      </c>
      <c r="O151" s="34">
        <f t="shared" si="12"/>
        <v>7.7931994314828406E-3</v>
      </c>
      <c r="P151" s="34">
        <f t="shared" si="13"/>
        <v>-1.3201105988443892E-2</v>
      </c>
    </row>
    <row r="152" spans="2:16" x14ac:dyDescent="0.2">
      <c r="B152" s="12" t="s">
        <v>219</v>
      </c>
      <c r="C152" s="32">
        <f>'1.RETURNS'!D152</f>
        <v>-1.3822363950257089E-2</v>
      </c>
      <c r="D152" s="30">
        <f t="shared" si="10"/>
        <v>1.9105774517336676E-4</v>
      </c>
      <c r="E152" s="30">
        <f t="shared" si="11"/>
        <v>1.3822363950257089E-2</v>
      </c>
      <c r="O152" s="34">
        <f t="shared" si="12"/>
        <v>-1.3201105988443892E-2</v>
      </c>
      <c r="P152" s="34">
        <f t="shared" si="13"/>
        <v>-1.3822363950257089E-2</v>
      </c>
    </row>
    <row r="153" spans="2:16" x14ac:dyDescent="0.2">
      <c r="B153" s="17" t="s">
        <v>220</v>
      </c>
      <c r="C153" s="32">
        <f>'1.RETURNS'!D153</f>
        <v>6.3102846376867569E-3</v>
      </c>
      <c r="D153" s="33">
        <f t="shared" si="10"/>
        <v>3.9819692208625488E-5</v>
      </c>
      <c r="E153" s="33">
        <f t="shared" si="11"/>
        <v>6.3102846376867569E-3</v>
      </c>
      <c r="O153" s="34">
        <f t="shared" si="12"/>
        <v>-1.3822363950257089E-2</v>
      </c>
      <c r="P153" s="34">
        <f t="shared" si="13"/>
        <v>6.3102846376867569E-3</v>
      </c>
    </row>
    <row r="154" spans="2:16" x14ac:dyDescent="0.2">
      <c r="B154" s="12" t="s">
        <v>221</v>
      </c>
      <c r="C154" s="32">
        <f>'1.RETURNS'!D154</f>
        <v>3.1997341907610043E-3</v>
      </c>
      <c r="D154" s="30">
        <f t="shared" si="10"/>
        <v>1.0238298891524979E-5</v>
      </c>
      <c r="E154" s="30">
        <f t="shared" si="11"/>
        <v>3.1997341907610043E-3</v>
      </c>
      <c r="O154" s="34">
        <f t="shared" si="12"/>
        <v>6.3102846376867569E-3</v>
      </c>
      <c r="P154" s="34">
        <f t="shared" si="13"/>
        <v>3.1997341907610043E-3</v>
      </c>
    </row>
    <row r="155" spans="2:16" x14ac:dyDescent="0.2">
      <c r="B155" s="17" t="s">
        <v>222</v>
      </c>
      <c r="C155" s="32">
        <f>'1.RETURNS'!D155</f>
        <v>2.8365367951750844E-3</v>
      </c>
      <c r="D155" s="33">
        <f t="shared" si="10"/>
        <v>8.0459409903821382E-6</v>
      </c>
      <c r="E155" s="33">
        <f t="shared" si="11"/>
        <v>2.8365367951750844E-3</v>
      </c>
      <c r="O155" s="34">
        <f t="shared" si="12"/>
        <v>3.1997341907610043E-3</v>
      </c>
      <c r="P155" s="34">
        <f t="shared" si="13"/>
        <v>2.8365367951750844E-3</v>
      </c>
    </row>
    <row r="156" spans="2:16" x14ac:dyDescent="0.2">
      <c r="B156" s="12" t="s">
        <v>223</v>
      </c>
      <c r="C156" s="32">
        <f>'1.RETURNS'!D156</f>
        <v>3.6961856275960067E-3</v>
      </c>
      <c r="D156" s="30">
        <f t="shared" si="10"/>
        <v>1.3661788193647286E-5</v>
      </c>
      <c r="E156" s="30">
        <f t="shared" si="11"/>
        <v>3.6961856275960067E-3</v>
      </c>
      <c r="O156" s="34">
        <f t="shared" si="12"/>
        <v>2.8365367951750844E-3</v>
      </c>
      <c r="P156" s="34">
        <f t="shared" si="13"/>
        <v>3.6961856275960067E-3</v>
      </c>
    </row>
    <row r="157" spans="2:16" x14ac:dyDescent="0.2">
      <c r="B157" s="17" t="s">
        <v>224</v>
      </c>
      <c r="C157" s="32">
        <f>'1.RETURNS'!D157</f>
        <v>-6.8192522778982778E-3</v>
      </c>
      <c r="D157" s="33">
        <f t="shared" si="10"/>
        <v>4.6502201629620853E-5</v>
      </c>
      <c r="E157" s="33">
        <f t="shared" si="11"/>
        <v>6.8192522778982778E-3</v>
      </c>
      <c r="O157" s="34">
        <f t="shared" si="12"/>
        <v>3.6961856275960067E-3</v>
      </c>
      <c r="P157" s="34">
        <f t="shared" si="13"/>
        <v>-6.8192522778982778E-3</v>
      </c>
    </row>
    <row r="158" spans="2:16" x14ac:dyDescent="0.2">
      <c r="B158" s="12" t="s">
        <v>225</v>
      </c>
      <c r="C158" s="32">
        <f>'1.RETURNS'!D158</f>
        <v>2.5812109836164374E-3</v>
      </c>
      <c r="D158" s="30">
        <f t="shared" si="10"/>
        <v>6.6626501419421362E-6</v>
      </c>
      <c r="E158" s="30">
        <f t="shared" si="11"/>
        <v>2.5812109836164374E-3</v>
      </c>
      <c r="O158" s="34">
        <f t="shared" si="12"/>
        <v>-6.8192522778982778E-3</v>
      </c>
      <c r="P158" s="34">
        <f t="shared" si="13"/>
        <v>2.5812109836164374E-3</v>
      </c>
    </row>
    <row r="159" spans="2:16" x14ac:dyDescent="0.2">
      <c r="B159" s="17" t="s">
        <v>226</v>
      </c>
      <c r="C159" s="32">
        <f>'1.RETURNS'!D159</f>
        <v>3.1661016930860314E-3</v>
      </c>
      <c r="D159" s="33">
        <f t="shared" si="10"/>
        <v>1.0024199930962235E-5</v>
      </c>
      <c r="E159" s="33">
        <f t="shared" si="11"/>
        <v>3.1661016930860314E-3</v>
      </c>
      <c r="O159" s="34">
        <f t="shared" si="12"/>
        <v>2.5812109836164374E-3</v>
      </c>
      <c r="P159" s="34">
        <f t="shared" si="13"/>
        <v>3.1661016930860314E-3</v>
      </c>
    </row>
    <row r="160" spans="2:16" x14ac:dyDescent="0.2">
      <c r="B160" s="12" t="s">
        <v>227</v>
      </c>
      <c r="C160" s="32">
        <f>'1.RETURNS'!D160</f>
        <v>-7.1162197669271295E-3</v>
      </c>
      <c r="D160" s="30">
        <f t="shared" si="10"/>
        <v>5.0640583771204407E-5</v>
      </c>
      <c r="E160" s="30">
        <f t="shared" si="11"/>
        <v>7.1162197669271295E-3</v>
      </c>
      <c r="O160" s="34">
        <f t="shared" si="12"/>
        <v>3.1661016930860314E-3</v>
      </c>
      <c r="P160" s="34">
        <f t="shared" si="13"/>
        <v>-7.1162197669271295E-3</v>
      </c>
    </row>
    <row r="161" spans="2:16" x14ac:dyDescent="0.2">
      <c r="B161" s="17" t="s">
        <v>228</v>
      </c>
      <c r="C161" s="32">
        <f>'1.RETURNS'!D161</f>
        <v>1.9665399871236153E-2</v>
      </c>
      <c r="D161" s="33">
        <f t="shared" si="10"/>
        <v>3.8672795209561487E-4</v>
      </c>
      <c r="E161" s="33">
        <f t="shared" si="11"/>
        <v>1.9665399871236153E-2</v>
      </c>
      <c r="O161" s="34">
        <f t="shared" si="12"/>
        <v>-7.1162197669271295E-3</v>
      </c>
      <c r="P161" s="34">
        <f t="shared" si="13"/>
        <v>1.9665399871236153E-2</v>
      </c>
    </row>
    <row r="162" spans="2:16" x14ac:dyDescent="0.2">
      <c r="B162" s="12" t="s">
        <v>229</v>
      </c>
      <c r="C162" s="32">
        <f>'1.RETURNS'!D162</f>
        <v>5.9337145637730513E-3</v>
      </c>
      <c r="D162" s="30">
        <f t="shared" si="10"/>
        <v>3.5208968524332416E-5</v>
      </c>
      <c r="E162" s="30">
        <f t="shared" si="11"/>
        <v>5.9337145637730513E-3</v>
      </c>
      <c r="O162" s="34">
        <f t="shared" si="12"/>
        <v>1.9665399871236153E-2</v>
      </c>
      <c r="P162" s="34">
        <f t="shared" si="13"/>
        <v>5.9337145637730513E-3</v>
      </c>
    </row>
    <row r="163" spans="2:16" x14ac:dyDescent="0.2">
      <c r="B163" s="17" t="s">
        <v>230</v>
      </c>
      <c r="C163" s="32">
        <f>'1.RETURNS'!D163</f>
        <v>-1.2143211157002474E-2</v>
      </c>
      <c r="D163" s="33">
        <f t="shared" si="10"/>
        <v>1.4745757720354937E-4</v>
      </c>
      <c r="E163" s="33">
        <f t="shared" si="11"/>
        <v>1.2143211157002474E-2</v>
      </c>
      <c r="O163" s="34">
        <f t="shared" si="12"/>
        <v>5.9337145637730513E-3</v>
      </c>
      <c r="P163" s="34">
        <f t="shared" si="13"/>
        <v>-1.2143211157002474E-2</v>
      </c>
    </row>
    <row r="164" spans="2:16" x14ac:dyDescent="0.2">
      <c r="B164" s="12" t="s">
        <v>231</v>
      </c>
      <c r="C164" s="32">
        <f>'1.RETURNS'!D164</f>
        <v>7.4404194366253593E-3</v>
      </c>
      <c r="D164" s="30">
        <f t="shared" si="10"/>
        <v>5.5359841392912432E-5</v>
      </c>
      <c r="E164" s="30">
        <f t="shared" si="11"/>
        <v>7.4404194366253593E-3</v>
      </c>
      <c r="O164" s="34">
        <f t="shared" si="12"/>
        <v>-1.2143211157002474E-2</v>
      </c>
      <c r="P164" s="34">
        <f t="shared" si="13"/>
        <v>7.4404194366253593E-3</v>
      </c>
    </row>
    <row r="165" spans="2:16" x14ac:dyDescent="0.2">
      <c r="B165" s="17" t="s">
        <v>232</v>
      </c>
      <c r="C165" s="32">
        <f>'1.RETURNS'!D165</f>
        <v>-1.0005212590329307E-2</v>
      </c>
      <c r="D165" s="33">
        <f t="shared" si="10"/>
        <v>1.001042789776841E-4</v>
      </c>
      <c r="E165" s="33">
        <f t="shared" si="11"/>
        <v>1.0005212590329307E-2</v>
      </c>
      <c r="O165" s="34">
        <f t="shared" si="12"/>
        <v>7.4404194366253593E-3</v>
      </c>
      <c r="P165" s="34">
        <f t="shared" si="13"/>
        <v>-1.0005212590329307E-2</v>
      </c>
    </row>
    <row r="166" spans="2:16" x14ac:dyDescent="0.2">
      <c r="B166" s="12" t="s">
        <v>233</v>
      </c>
      <c r="C166" s="32">
        <f>'1.RETURNS'!D166</f>
        <v>8.7610172370882478E-3</v>
      </c>
      <c r="D166" s="30">
        <f t="shared" si="10"/>
        <v>7.6755423028557394E-5</v>
      </c>
      <c r="E166" s="30">
        <f t="shared" si="11"/>
        <v>8.7610172370882478E-3</v>
      </c>
      <c r="O166" s="34">
        <f t="shared" si="12"/>
        <v>-1.0005212590329307E-2</v>
      </c>
      <c r="P166" s="34">
        <f t="shared" si="13"/>
        <v>8.7610172370882478E-3</v>
      </c>
    </row>
    <row r="167" spans="2:16" x14ac:dyDescent="0.2">
      <c r="B167" s="17" t="s">
        <v>234</v>
      </c>
      <c r="C167" s="32">
        <f>'1.RETURNS'!D167</f>
        <v>1.2933761188865233E-2</v>
      </c>
      <c r="D167" s="33">
        <f t="shared" si="10"/>
        <v>1.6728217849059659E-4</v>
      </c>
      <c r="E167" s="33">
        <f t="shared" si="11"/>
        <v>1.2933761188865233E-2</v>
      </c>
      <c r="O167" s="34">
        <f t="shared" si="12"/>
        <v>8.7610172370882478E-3</v>
      </c>
      <c r="P167" s="34">
        <f t="shared" si="13"/>
        <v>1.2933761188865233E-2</v>
      </c>
    </row>
    <row r="168" spans="2:16" x14ac:dyDescent="0.2">
      <c r="B168" s="12" t="s">
        <v>235</v>
      </c>
      <c r="C168" s="32">
        <f>'1.RETURNS'!D168</f>
        <v>-8.4920110384975305E-3</v>
      </c>
      <c r="D168" s="30">
        <f t="shared" si="10"/>
        <v>7.2114251477963908E-5</v>
      </c>
      <c r="E168" s="30">
        <f t="shared" si="11"/>
        <v>8.4920110384975305E-3</v>
      </c>
      <c r="O168" s="34">
        <f t="shared" si="12"/>
        <v>1.2933761188865233E-2</v>
      </c>
      <c r="P168" s="34">
        <f t="shared" si="13"/>
        <v>-8.4920110384975305E-3</v>
      </c>
    </row>
    <row r="169" spans="2:16" x14ac:dyDescent="0.2">
      <c r="B169" s="17" t="s">
        <v>236</v>
      </c>
      <c r="C169" s="32">
        <f>'1.RETURNS'!D169</f>
        <v>1.023044981412048E-2</v>
      </c>
      <c r="D169" s="33">
        <f t="shared" si="10"/>
        <v>1.0466210339923776E-4</v>
      </c>
      <c r="E169" s="33">
        <f t="shared" si="11"/>
        <v>1.023044981412048E-2</v>
      </c>
      <c r="O169" s="34">
        <f t="shared" si="12"/>
        <v>-8.4920110384975305E-3</v>
      </c>
      <c r="P169" s="34">
        <f t="shared" si="13"/>
        <v>1.023044981412048E-2</v>
      </c>
    </row>
    <row r="170" spans="2:16" x14ac:dyDescent="0.2">
      <c r="B170" s="12" t="s">
        <v>237</v>
      </c>
      <c r="C170" s="32">
        <f>'1.RETURNS'!D170</f>
        <v>4.8615039558976515E-3</v>
      </c>
      <c r="D170" s="30">
        <f t="shared" si="10"/>
        <v>2.3634220713208514E-5</v>
      </c>
      <c r="E170" s="30">
        <f t="shared" si="11"/>
        <v>4.8615039558976515E-3</v>
      </c>
      <c r="O170" s="34">
        <f t="shared" si="12"/>
        <v>1.023044981412048E-2</v>
      </c>
      <c r="P170" s="34">
        <f t="shared" si="13"/>
        <v>4.8615039558976515E-3</v>
      </c>
    </row>
    <row r="171" spans="2:16" x14ac:dyDescent="0.2">
      <c r="B171" s="17" t="s">
        <v>238</v>
      </c>
      <c r="C171" s="32">
        <f>'1.RETURNS'!D171</f>
        <v>8.8634452394520304E-3</v>
      </c>
      <c r="D171" s="33">
        <f t="shared" si="10"/>
        <v>7.8560661512764861E-5</v>
      </c>
      <c r="E171" s="33">
        <f t="shared" si="11"/>
        <v>8.8634452394520304E-3</v>
      </c>
      <c r="O171" s="34">
        <f t="shared" si="12"/>
        <v>4.8615039558976515E-3</v>
      </c>
      <c r="P171" s="34">
        <f t="shared" si="13"/>
        <v>8.8634452394520304E-3</v>
      </c>
    </row>
    <row r="172" spans="2:16" x14ac:dyDescent="0.2">
      <c r="B172" s="12" t="s">
        <v>239</v>
      </c>
      <c r="C172" s="32">
        <f>'1.RETURNS'!D172</f>
        <v>2.0269635440790891E-2</v>
      </c>
      <c r="D172" s="30">
        <f t="shared" si="10"/>
        <v>4.1085812090256612E-4</v>
      </c>
      <c r="E172" s="30">
        <f t="shared" si="11"/>
        <v>2.0269635440790891E-2</v>
      </c>
      <c r="O172" s="34">
        <f t="shared" si="12"/>
        <v>8.8634452394520304E-3</v>
      </c>
      <c r="P172" s="34">
        <f t="shared" si="13"/>
        <v>2.0269635440790891E-2</v>
      </c>
    </row>
    <row r="173" spans="2:16" x14ac:dyDescent="0.2">
      <c r="B173" s="17" t="s">
        <v>240</v>
      </c>
      <c r="C173" s="32">
        <f>'1.RETURNS'!D173</f>
        <v>-2.7166877695450325E-3</v>
      </c>
      <c r="D173" s="33">
        <f t="shared" si="10"/>
        <v>7.3803924371955639E-6</v>
      </c>
      <c r="E173" s="33">
        <f t="shared" si="11"/>
        <v>2.7166877695450325E-3</v>
      </c>
      <c r="O173" s="34">
        <f t="shared" si="12"/>
        <v>2.0269635440790891E-2</v>
      </c>
      <c r="P173" s="34">
        <f t="shared" si="13"/>
        <v>-2.7166877695450325E-3</v>
      </c>
    </row>
    <row r="174" spans="2:16" x14ac:dyDescent="0.2">
      <c r="B174" s="12" t="s">
        <v>241</v>
      </c>
      <c r="C174" s="32">
        <f>'1.RETURNS'!D174</f>
        <v>-7.0016110826944802E-3</v>
      </c>
      <c r="D174" s="30">
        <f t="shared" si="10"/>
        <v>4.9022557753310171E-5</v>
      </c>
      <c r="E174" s="30">
        <f t="shared" si="11"/>
        <v>7.0016110826944802E-3</v>
      </c>
      <c r="O174" s="34">
        <f t="shared" si="12"/>
        <v>-2.7166877695450325E-3</v>
      </c>
      <c r="P174" s="34">
        <f t="shared" si="13"/>
        <v>-7.0016110826944802E-3</v>
      </c>
    </row>
    <row r="175" spans="2:16" x14ac:dyDescent="0.2">
      <c r="B175" s="17" t="s">
        <v>242</v>
      </c>
      <c r="C175" s="32">
        <f>'1.RETURNS'!D175</f>
        <v>-8.7004675955682457E-3</v>
      </c>
      <c r="D175" s="33">
        <f t="shared" si="10"/>
        <v>7.5698136381533094E-5</v>
      </c>
      <c r="E175" s="33">
        <f t="shared" si="11"/>
        <v>8.7004675955682457E-3</v>
      </c>
      <c r="O175" s="34">
        <f t="shared" si="12"/>
        <v>-7.0016110826944802E-3</v>
      </c>
      <c r="P175" s="34">
        <f t="shared" si="13"/>
        <v>-8.7004675955682457E-3</v>
      </c>
    </row>
    <row r="176" spans="2:16" x14ac:dyDescent="0.2">
      <c r="B176" s="12" t="s">
        <v>243</v>
      </c>
      <c r="C176" s="32">
        <f>'1.RETURNS'!D176</f>
        <v>-8.3326488017001123E-3</v>
      </c>
      <c r="D176" s="30">
        <f t="shared" si="10"/>
        <v>6.9433036052474317E-5</v>
      </c>
      <c r="E176" s="30">
        <f t="shared" si="11"/>
        <v>8.3326488017001123E-3</v>
      </c>
      <c r="O176" s="34">
        <f t="shared" si="12"/>
        <v>-8.7004675955682457E-3</v>
      </c>
      <c r="P176" s="34">
        <f t="shared" si="13"/>
        <v>-8.3326488017001123E-3</v>
      </c>
    </row>
    <row r="177" spans="2:16" x14ac:dyDescent="0.2">
      <c r="B177" s="17" t="s">
        <v>244</v>
      </c>
      <c r="C177" s="32">
        <f>'1.RETURNS'!D177</f>
        <v>-5.3771891585404285E-4</v>
      </c>
      <c r="D177" s="33">
        <f t="shared" si="10"/>
        <v>2.8914163246724719E-7</v>
      </c>
      <c r="E177" s="33">
        <f t="shared" si="11"/>
        <v>5.3771891585404285E-4</v>
      </c>
      <c r="O177" s="34">
        <f t="shared" si="12"/>
        <v>-8.3326488017001123E-3</v>
      </c>
      <c r="P177" s="34">
        <f t="shared" si="13"/>
        <v>-5.3771891585404285E-4</v>
      </c>
    </row>
    <row r="178" spans="2:16" x14ac:dyDescent="0.2">
      <c r="B178" s="12" t="s">
        <v>245</v>
      </c>
      <c r="C178" s="32">
        <f>'1.RETURNS'!D178</f>
        <v>3.5689868357062136E-3</v>
      </c>
      <c r="D178" s="30">
        <f t="shared" si="10"/>
        <v>1.273766703344425E-5</v>
      </c>
      <c r="E178" s="30">
        <f t="shared" si="11"/>
        <v>3.5689868357062136E-3</v>
      </c>
      <c r="O178" s="34">
        <f t="shared" si="12"/>
        <v>-5.3771891585404285E-4</v>
      </c>
      <c r="P178" s="34">
        <f t="shared" si="13"/>
        <v>3.5689868357062136E-3</v>
      </c>
    </row>
    <row r="179" spans="2:16" x14ac:dyDescent="0.2">
      <c r="B179" s="17" t="s">
        <v>246</v>
      </c>
      <c r="C179" s="32">
        <f>'1.RETURNS'!D179</f>
        <v>2.9188495799730967E-3</v>
      </c>
      <c r="D179" s="33">
        <f t="shared" si="10"/>
        <v>8.5196828705091225E-6</v>
      </c>
      <c r="E179" s="33">
        <f t="shared" si="11"/>
        <v>2.9188495799730967E-3</v>
      </c>
      <c r="O179" s="34">
        <f t="shared" si="12"/>
        <v>3.5689868357062136E-3</v>
      </c>
      <c r="P179" s="34">
        <f t="shared" si="13"/>
        <v>2.9188495799730967E-3</v>
      </c>
    </row>
    <row r="180" spans="2:16" x14ac:dyDescent="0.2">
      <c r="B180" s="12" t="s">
        <v>247</v>
      </c>
      <c r="C180" s="32">
        <f>'1.RETURNS'!D180</f>
        <v>8.7876670220886927E-3</v>
      </c>
      <c r="D180" s="30">
        <f t="shared" si="10"/>
        <v>7.722309169110515E-5</v>
      </c>
      <c r="E180" s="30">
        <f t="shared" si="11"/>
        <v>8.7876670220886927E-3</v>
      </c>
      <c r="O180" s="34">
        <f t="shared" si="12"/>
        <v>2.9188495799730967E-3</v>
      </c>
      <c r="P180" s="34">
        <f t="shared" si="13"/>
        <v>8.7876670220886927E-3</v>
      </c>
    </row>
    <row r="181" spans="2:16" x14ac:dyDescent="0.2">
      <c r="B181" s="17" t="s">
        <v>248</v>
      </c>
      <c r="C181" s="32">
        <f>'1.RETURNS'!D181</f>
        <v>3.9912193704844801E-4</v>
      </c>
      <c r="D181" s="33">
        <f t="shared" si="10"/>
        <v>1.592983206333053E-7</v>
      </c>
      <c r="E181" s="33">
        <f t="shared" si="11"/>
        <v>3.9912193704844801E-4</v>
      </c>
      <c r="O181" s="34">
        <f t="shared" si="12"/>
        <v>8.7876670220886927E-3</v>
      </c>
      <c r="P181" s="34">
        <f t="shared" si="13"/>
        <v>3.9912193704844801E-4</v>
      </c>
    </row>
    <row r="182" spans="2:16" x14ac:dyDescent="0.2">
      <c r="B182" s="12" t="s">
        <v>249</v>
      </c>
      <c r="C182" s="32">
        <f>'1.RETURNS'!D182</f>
        <v>1.4444864903524457E-2</v>
      </c>
      <c r="D182" s="30">
        <f t="shared" si="10"/>
        <v>2.0865412208107261E-4</v>
      </c>
      <c r="E182" s="30">
        <f t="shared" si="11"/>
        <v>1.4444864903524457E-2</v>
      </c>
      <c r="O182" s="34">
        <f t="shared" si="12"/>
        <v>3.9912193704844801E-4</v>
      </c>
      <c r="P182" s="34">
        <f t="shared" si="13"/>
        <v>1.4444864903524457E-2</v>
      </c>
    </row>
    <row r="183" spans="2:16" x14ac:dyDescent="0.2">
      <c r="B183" s="17" t="s">
        <v>250</v>
      </c>
      <c r="C183" s="32">
        <f>'1.RETURNS'!D183</f>
        <v>-2.7342805469443105E-3</v>
      </c>
      <c r="D183" s="33">
        <f t="shared" si="10"/>
        <v>7.4762901093980779E-6</v>
      </c>
      <c r="E183" s="33">
        <f t="shared" si="11"/>
        <v>2.7342805469443105E-3</v>
      </c>
      <c r="O183" s="34">
        <f t="shared" si="12"/>
        <v>1.4444864903524457E-2</v>
      </c>
      <c r="P183" s="34">
        <f t="shared" si="13"/>
        <v>-2.7342805469443105E-3</v>
      </c>
    </row>
    <row r="184" spans="2:16" x14ac:dyDescent="0.2">
      <c r="B184" s="12" t="s">
        <v>251</v>
      </c>
      <c r="C184" s="32">
        <f>'1.RETURNS'!D184</f>
        <v>2.6601048383635115E-2</v>
      </c>
      <c r="D184" s="30">
        <f t="shared" si="10"/>
        <v>7.0761577510849636E-4</v>
      </c>
      <c r="E184" s="30">
        <f t="shared" si="11"/>
        <v>2.6601048383635115E-2</v>
      </c>
      <c r="O184" s="34">
        <f t="shared" si="12"/>
        <v>-2.7342805469443105E-3</v>
      </c>
      <c r="P184" s="34">
        <f t="shared" si="13"/>
        <v>2.6601048383635115E-2</v>
      </c>
    </row>
    <row r="185" spans="2:16" x14ac:dyDescent="0.2">
      <c r="B185" s="17" t="s">
        <v>252</v>
      </c>
      <c r="C185" s="32">
        <f>'1.RETURNS'!D185</f>
        <v>8.3670803066559097E-3</v>
      </c>
      <c r="D185" s="33">
        <f t="shared" si="10"/>
        <v>7.0008032858029148E-5</v>
      </c>
      <c r="E185" s="33">
        <f t="shared" si="11"/>
        <v>8.3670803066559097E-3</v>
      </c>
      <c r="O185" s="34">
        <f t="shared" si="12"/>
        <v>2.6601048383635115E-2</v>
      </c>
      <c r="P185" s="34">
        <f t="shared" si="13"/>
        <v>8.3670803066559097E-3</v>
      </c>
    </row>
    <row r="186" spans="2:16" x14ac:dyDescent="0.2">
      <c r="B186" s="12" t="s">
        <v>253</v>
      </c>
      <c r="C186" s="32">
        <f>'1.RETURNS'!D186</f>
        <v>-8.9088268120969538E-3</v>
      </c>
      <c r="D186" s="30">
        <f t="shared" si="10"/>
        <v>7.9367195167937571E-5</v>
      </c>
      <c r="E186" s="30">
        <f t="shared" si="11"/>
        <v>8.9088268120969538E-3</v>
      </c>
      <c r="O186" s="34">
        <f t="shared" si="12"/>
        <v>8.3670803066559097E-3</v>
      </c>
      <c r="P186" s="34">
        <f t="shared" si="13"/>
        <v>-8.9088268120969538E-3</v>
      </c>
    </row>
    <row r="187" spans="2:16" x14ac:dyDescent="0.2">
      <c r="B187" s="17" t="s">
        <v>254</v>
      </c>
      <c r="C187" s="32">
        <f>'1.RETURNS'!D187</f>
        <v>-1.0752605375643568E-2</v>
      </c>
      <c r="D187" s="33">
        <f t="shared" si="10"/>
        <v>1.1561852236431897E-4</v>
      </c>
      <c r="E187" s="33">
        <f t="shared" si="11"/>
        <v>1.0752605375643568E-2</v>
      </c>
      <c r="O187" s="34">
        <f t="shared" si="12"/>
        <v>-8.9088268120969538E-3</v>
      </c>
      <c r="P187" s="34">
        <f t="shared" si="13"/>
        <v>-1.0752605375643568E-2</v>
      </c>
    </row>
    <row r="188" spans="2:16" x14ac:dyDescent="0.2">
      <c r="B188" s="12" t="s">
        <v>255</v>
      </c>
      <c r="C188" s="32">
        <f>'1.RETURNS'!D188</f>
        <v>5.6532182272813853E-3</v>
      </c>
      <c r="D188" s="30">
        <f t="shared" si="10"/>
        <v>3.195887632526649E-5</v>
      </c>
      <c r="E188" s="30">
        <f t="shared" si="11"/>
        <v>5.6532182272813853E-3</v>
      </c>
      <c r="O188" s="34">
        <f t="shared" si="12"/>
        <v>-1.0752605375643568E-2</v>
      </c>
      <c r="P188" s="34">
        <f t="shared" si="13"/>
        <v>5.6532182272813853E-3</v>
      </c>
    </row>
    <row r="189" spans="2:16" x14ac:dyDescent="0.2">
      <c r="B189" s="17" t="s">
        <v>256</v>
      </c>
      <c r="C189" s="32">
        <f>'1.RETURNS'!D189</f>
        <v>-2.081790297793948E-3</v>
      </c>
      <c r="D189" s="33">
        <f t="shared" si="10"/>
        <v>4.3338508439890141E-6</v>
      </c>
      <c r="E189" s="33">
        <f t="shared" si="11"/>
        <v>2.081790297793948E-3</v>
      </c>
      <c r="O189" s="34">
        <f t="shared" si="12"/>
        <v>5.6532182272813853E-3</v>
      </c>
      <c r="P189" s="34">
        <f t="shared" si="13"/>
        <v>-2.081790297793948E-3</v>
      </c>
    </row>
    <row r="190" spans="2:16" x14ac:dyDescent="0.2">
      <c r="B190" s="12" t="s">
        <v>257</v>
      </c>
      <c r="C190" s="32">
        <f>'1.RETURNS'!D190</f>
        <v>7.5358083382229902E-3</v>
      </c>
      <c r="D190" s="30">
        <f t="shared" si="10"/>
        <v>5.6788407310431144E-5</v>
      </c>
      <c r="E190" s="30">
        <f t="shared" si="11"/>
        <v>7.5358083382229902E-3</v>
      </c>
      <c r="O190" s="34">
        <f t="shared" si="12"/>
        <v>-2.081790297793948E-3</v>
      </c>
      <c r="P190" s="34">
        <f t="shared" si="13"/>
        <v>7.5358083382229902E-3</v>
      </c>
    </row>
    <row r="191" spans="2:16" x14ac:dyDescent="0.2">
      <c r="B191" s="17" t="s">
        <v>258</v>
      </c>
      <c r="C191" s="32">
        <f>'1.RETURNS'!D191</f>
        <v>5.2921805565481293E-3</v>
      </c>
      <c r="D191" s="33">
        <f t="shared" si="10"/>
        <v>2.8007175043106066E-5</v>
      </c>
      <c r="E191" s="33">
        <f t="shared" si="11"/>
        <v>5.2921805565481293E-3</v>
      </c>
      <c r="O191" s="34">
        <f t="shared" si="12"/>
        <v>7.5358083382229902E-3</v>
      </c>
      <c r="P191" s="34">
        <f t="shared" si="13"/>
        <v>5.2921805565481293E-3</v>
      </c>
    </row>
    <row r="192" spans="2:16" x14ac:dyDescent="0.2">
      <c r="B192" s="12" t="s">
        <v>259</v>
      </c>
      <c r="C192" s="32">
        <f>'1.RETURNS'!D192</f>
        <v>-4.826249008080478E-4</v>
      </c>
      <c r="D192" s="30">
        <f t="shared" si="10"/>
        <v>2.3292679487997798E-7</v>
      </c>
      <c r="E192" s="30">
        <f t="shared" si="11"/>
        <v>4.826249008080478E-4</v>
      </c>
      <c r="O192" s="34">
        <f t="shared" si="12"/>
        <v>5.2921805565481293E-3</v>
      </c>
      <c r="P192" s="34">
        <f t="shared" si="13"/>
        <v>-4.826249008080478E-4</v>
      </c>
    </row>
    <row r="193" spans="2:16" x14ac:dyDescent="0.2">
      <c r="B193" s="17" t="s">
        <v>260</v>
      </c>
      <c r="C193" s="32">
        <f>'1.RETURNS'!D193</f>
        <v>-7.7785413297187063E-3</v>
      </c>
      <c r="D193" s="33">
        <f t="shared" si="10"/>
        <v>6.0505705218142059E-5</v>
      </c>
      <c r="E193" s="33">
        <f t="shared" si="11"/>
        <v>7.7785413297187063E-3</v>
      </c>
      <c r="O193" s="34">
        <f t="shared" si="12"/>
        <v>-4.826249008080478E-4</v>
      </c>
      <c r="P193" s="34">
        <f t="shared" si="13"/>
        <v>-7.7785413297187063E-3</v>
      </c>
    </row>
    <row r="194" spans="2:16" x14ac:dyDescent="0.2">
      <c r="B194" s="12" t="s">
        <v>261</v>
      </c>
      <c r="C194" s="32">
        <f>'1.RETURNS'!D194</f>
        <v>-1.6177610551065667E-2</v>
      </c>
      <c r="D194" s="30">
        <f t="shared" si="10"/>
        <v>2.6171508314195121E-4</v>
      </c>
      <c r="E194" s="30">
        <f t="shared" si="11"/>
        <v>1.6177610551065667E-2</v>
      </c>
      <c r="O194" s="34">
        <f t="shared" si="12"/>
        <v>-7.7785413297187063E-3</v>
      </c>
      <c r="P194" s="34">
        <f t="shared" si="13"/>
        <v>-1.6177610551065667E-2</v>
      </c>
    </row>
    <row r="195" spans="2:16" x14ac:dyDescent="0.2">
      <c r="B195" s="17" t="s">
        <v>262</v>
      </c>
      <c r="C195" s="32">
        <f>'1.RETURNS'!D195</f>
        <v>-5.0197813926275339E-3</v>
      </c>
      <c r="D195" s="33">
        <f t="shared" si="10"/>
        <v>2.5198205229769622E-5</v>
      </c>
      <c r="E195" s="33">
        <f t="shared" si="11"/>
        <v>5.0197813926275339E-3</v>
      </c>
      <c r="O195" s="34">
        <f t="shared" si="12"/>
        <v>-1.6177610551065667E-2</v>
      </c>
      <c r="P195" s="34">
        <f t="shared" si="13"/>
        <v>-5.0197813926275339E-3</v>
      </c>
    </row>
    <row r="196" spans="2:16" x14ac:dyDescent="0.2">
      <c r="B196" s="12" t="s">
        <v>263</v>
      </c>
      <c r="C196" s="32">
        <f>'1.RETURNS'!D196</f>
        <v>8.5899744800403029E-3</v>
      </c>
      <c r="D196" s="30">
        <f t="shared" ref="D196:D255" si="14">C196^2</f>
        <v>7.3787661567743665E-5</v>
      </c>
      <c r="E196" s="30">
        <f t="shared" ref="E196:E255" si="15">ABS(C196)</f>
        <v>8.5899744800403029E-3</v>
      </c>
      <c r="O196" s="34">
        <f t="shared" si="12"/>
        <v>-5.0197813926275339E-3</v>
      </c>
      <c r="P196" s="34">
        <f t="shared" si="13"/>
        <v>8.5899744800403029E-3</v>
      </c>
    </row>
    <row r="197" spans="2:16" x14ac:dyDescent="0.2">
      <c r="B197" s="17" t="s">
        <v>264</v>
      </c>
      <c r="C197" s="32">
        <f>'1.RETURNS'!D197</f>
        <v>2.4329453622777822E-3</v>
      </c>
      <c r="D197" s="33">
        <f t="shared" si="14"/>
        <v>5.9192231358289689E-6</v>
      </c>
      <c r="E197" s="33">
        <f t="shared" si="15"/>
        <v>2.4329453622777822E-3</v>
      </c>
      <c r="O197" s="34">
        <f t="shared" si="12"/>
        <v>8.5899744800403029E-3</v>
      </c>
      <c r="P197" s="34">
        <f t="shared" si="13"/>
        <v>2.4329453622777822E-3</v>
      </c>
    </row>
    <row r="198" spans="2:16" x14ac:dyDescent="0.2">
      <c r="B198" s="12" t="s">
        <v>265</v>
      </c>
      <c r="C198" s="32">
        <f>'1.RETURNS'!D198</f>
        <v>-1.1820349939107919E-2</v>
      </c>
      <c r="D198" s="30">
        <f t="shared" si="14"/>
        <v>1.397206726829686E-4</v>
      </c>
      <c r="E198" s="30">
        <f t="shared" si="15"/>
        <v>1.1820349939107919E-2</v>
      </c>
      <c r="O198" s="34">
        <f t="shared" ref="O198:O255" si="16">C197</f>
        <v>2.4329453622777822E-3</v>
      </c>
      <c r="P198" s="34">
        <f t="shared" ref="P198:P255" si="17">C198</f>
        <v>-1.1820349939107919E-2</v>
      </c>
    </row>
    <row r="199" spans="2:16" x14ac:dyDescent="0.2">
      <c r="B199" s="17" t="s">
        <v>266</v>
      </c>
      <c r="C199" s="32">
        <f>'1.RETURNS'!D199</f>
        <v>2.1989614233091119E-3</v>
      </c>
      <c r="D199" s="33">
        <f t="shared" si="14"/>
        <v>4.8354313412016349E-6</v>
      </c>
      <c r="E199" s="33">
        <f t="shared" si="15"/>
        <v>2.1989614233091119E-3</v>
      </c>
      <c r="O199" s="34">
        <f t="shared" si="16"/>
        <v>-1.1820349939107919E-2</v>
      </c>
      <c r="P199" s="34">
        <f t="shared" si="17"/>
        <v>2.1989614233091119E-3</v>
      </c>
    </row>
    <row r="200" spans="2:16" x14ac:dyDescent="0.2">
      <c r="B200" s="12" t="s">
        <v>267</v>
      </c>
      <c r="C200" s="32">
        <f>'1.RETURNS'!D200</f>
        <v>4.2078971355218606E-3</v>
      </c>
      <c r="D200" s="30">
        <f t="shared" si="14"/>
        <v>1.770639830313308E-5</v>
      </c>
      <c r="E200" s="30">
        <f t="shared" si="15"/>
        <v>4.2078971355218606E-3</v>
      </c>
      <c r="O200" s="34">
        <f t="shared" si="16"/>
        <v>2.1989614233091119E-3</v>
      </c>
      <c r="P200" s="34">
        <f t="shared" si="17"/>
        <v>4.2078971355218606E-3</v>
      </c>
    </row>
    <row r="201" spans="2:16" x14ac:dyDescent="0.2">
      <c r="B201" s="17" t="s">
        <v>268</v>
      </c>
      <c r="C201" s="32">
        <f>'1.RETURNS'!D201</f>
        <v>-8.3146894543242224E-3</v>
      </c>
      <c r="D201" s="33">
        <f t="shared" si="14"/>
        <v>6.9134060721850432E-5</v>
      </c>
      <c r="E201" s="33">
        <f t="shared" si="15"/>
        <v>8.3146894543242224E-3</v>
      </c>
      <c r="O201" s="34">
        <f t="shared" si="16"/>
        <v>4.2078971355218606E-3</v>
      </c>
      <c r="P201" s="34">
        <f t="shared" si="17"/>
        <v>-8.3146894543242224E-3</v>
      </c>
    </row>
    <row r="202" spans="2:16" x14ac:dyDescent="0.2">
      <c r="B202" s="12" t="s">
        <v>269</v>
      </c>
      <c r="C202" s="32">
        <f>'1.RETURNS'!D202</f>
        <v>1.8926836644069234E-3</v>
      </c>
      <c r="D202" s="30">
        <f t="shared" si="14"/>
        <v>3.5822514535128195E-6</v>
      </c>
      <c r="E202" s="30">
        <f t="shared" si="15"/>
        <v>1.8926836644069234E-3</v>
      </c>
      <c r="O202" s="34">
        <f t="shared" si="16"/>
        <v>-8.3146894543242224E-3</v>
      </c>
      <c r="P202" s="34">
        <f t="shared" si="17"/>
        <v>1.8926836644069234E-3</v>
      </c>
    </row>
    <row r="203" spans="2:16" x14ac:dyDescent="0.2">
      <c r="B203" s="17" t="s">
        <v>270</v>
      </c>
      <c r="C203" s="32">
        <f>'1.RETURNS'!D203</f>
        <v>8.3275718081626284E-4</v>
      </c>
      <c r="D203" s="33">
        <f t="shared" si="14"/>
        <v>6.9348452220104992E-7</v>
      </c>
      <c r="E203" s="33">
        <f t="shared" si="15"/>
        <v>8.3275718081626284E-4</v>
      </c>
      <c r="O203" s="34">
        <f t="shared" si="16"/>
        <v>1.8926836644069234E-3</v>
      </c>
      <c r="P203" s="34">
        <f t="shared" si="17"/>
        <v>8.3275718081626284E-4</v>
      </c>
    </row>
    <row r="204" spans="2:16" x14ac:dyDescent="0.2">
      <c r="B204" s="12" t="s">
        <v>271</v>
      </c>
      <c r="C204" s="32">
        <f>'1.RETURNS'!D204</f>
        <v>-1.1222078721036192E-2</v>
      </c>
      <c r="D204" s="30">
        <f t="shared" si="14"/>
        <v>1.2593505082113331E-4</v>
      </c>
      <c r="E204" s="30">
        <f t="shared" si="15"/>
        <v>1.1222078721036192E-2</v>
      </c>
      <c r="O204" s="34">
        <f t="shared" si="16"/>
        <v>8.3275718081626284E-4</v>
      </c>
      <c r="P204" s="34">
        <f t="shared" si="17"/>
        <v>-1.1222078721036192E-2</v>
      </c>
    </row>
    <row r="205" spans="2:16" x14ac:dyDescent="0.2">
      <c r="B205" s="17" t="s">
        <v>272</v>
      </c>
      <c r="C205" s="32">
        <f>'1.RETURNS'!D205</f>
        <v>4.2560729739904799E-3</v>
      </c>
      <c r="D205" s="33">
        <f t="shared" si="14"/>
        <v>1.8114157159932169E-5</v>
      </c>
      <c r="E205" s="33">
        <f t="shared" si="15"/>
        <v>4.2560729739904799E-3</v>
      </c>
      <c r="O205" s="34">
        <f t="shared" si="16"/>
        <v>-1.1222078721036192E-2</v>
      </c>
      <c r="P205" s="34">
        <f t="shared" si="17"/>
        <v>4.2560729739904799E-3</v>
      </c>
    </row>
    <row r="206" spans="2:16" x14ac:dyDescent="0.2">
      <c r="B206" s="12" t="s">
        <v>273</v>
      </c>
      <c r="C206" s="32">
        <f>'1.RETURNS'!D206</f>
        <v>6.0625584539794972E-3</v>
      </c>
      <c r="D206" s="30">
        <f t="shared" si="14"/>
        <v>3.675461500791827E-5</v>
      </c>
      <c r="E206" s="30">
        <f t="shared" si="15"/>
        <v>6.0625584539794972E-3</v>
      </c>
      <c r="O206" s="34">
        <f t="shared" si="16"/>
        <v>4.2560729739904799E-3</v>
      </c>
      <c r="P206" s="34">
        <f t="shared" si="17"/>
        <v>6.0625584539794972E-3</v>
      </c>
    </row>
    <row r="207" spans="2:16" x14ac:dyDescent="0.2">
      <c r="B207" s="17" t="s">
        <v>274</v>
      </c>
      <c r="C207" s="32">
        <f>'1.RETURNS'!D207</f>
        <v>1.1337198644370486E-2</v>
      </c>
      <c r="D207" s="33">
        <f t="shared" si="14"/>
        <v>1.2853207310191598E-4</v>
      </c>
      <c r="E207" s="33">
        <f t="shared" si="15"/>
        <v>1.1337198644370486E-2</v>
      </c>
      <c r="O207" s="34">
        <f t="shared" si="16"/>
        <v>6.0625584539794972E-3</v>
      </c>
      <c r="P207" s="34">
        <f t="shared" si="17"/>
        <v>1.1337198644370486E-2</v>
      </c>
    </row>
    <row r="208" spans="2:16" x14ac:dyDescent="0.2">
      <c r="B208" s="12" t="s">
        <v>275</v>
      </c>
      <c r="C208" s="32">
        <f>'1.RETURNS'!D208</f>
        <v>1.1649393177382806E-2</v>
      </c>
      <c r="D208" s="30">
        <f t="shared" si="14"/>
        <v>1.3570836140125306E-4</v>
      </c>
      <c r="E208" s="30">
        <f t="shared" si="15"/>
        <v>1.1649393177382806E-2</v>
      </c>
      <c r="O208" s="34">
        <f t="shared" si="16"/>
        <v>1.1337198644370486E-2</v>
      </c>
      <c r="P208" s="34">
        <f t="shared" si="17"/>
        <v>1.1649393177382806E-2</v>
      </c>
    </row>
    <row r="209" spans="2:16" x14ac:dyDescent="0.2">
      <c r="B209" s="17" t="s">
        <v>276</v>
      </c>
      <c r="C209" s="32">
        <f>'1.RETURNS'!D209</f>
        <v>-1.4504209553333199E-2</v>
      </c>
      <c r="D209" s="33">
        <f t="shared" si="14"/>
        <v>2.1037209476700204E-4</v>
      </c>
      <c r="E209" s="33">
        <f t="shared" si="15"/>
        <v>1.4504209553333199E-2</v>
      </c>
      <c r="O209" s="34">
        <f t="shared" si="16"/>
        <v>1.1649393177382806E-2</v>
      </c>
      <c r="P209" s="34">
        <f t="shared" si="17"/>
        <v>-1.4504209553333199E-2</v>
      </c>
    </row>
    <row r="210" spans="2:16" x14ac:dyDescent="0.2">
      <c r="B210" s="12" t="s">
        <v>277</v>
      </c>
      <c r="C210" s="32">
        <f>'1.RETURNS'!D210</f>
        <v>-9.9301034976918799E-3</v>
      </c>
      <c r="D210" s="30">
        <f t="shared" si="14"/>
        <v>9.8606955474872505E-5</v>
      </c>
      <c r="E210" s="30">
        <f t="shared" si="15"/>
        <v>9.9301034976918799E-3</v>
      </c>
      <c r="O210" s="34">
        <f t="shared" si="16"/>
        <v>-1.4504209553333199E-2</v>
      </c>
      <c r="P210" s="34">
        <f t="shared" si="17"/>
        <v>-9.9301034976918799E-3</v>
      </c>
    </row>
    <row r="211" spans="2:16" x14ac:dyDescent="0.2">
      <c r="B211" s="17" t="s">
        <v>278</v>
      </c>
      <c r="C211" s="32">
        <f>'1.RETURNS'!D211</f>
        <v>5.9467640194596303E-3</v>
      </c>
      <c r="D211" s="33">
        <f t="shared" si="14"/>
        <v>3.5364002303139656E-5</v>
      </c>
      <c r="E211" s="33">
        <f t="shared" si="15"/>
        <v>5.9467640194596303E-3</v>
      </c>
      <c r="O211" s="34">
        <f t="shared" si="16"/>
        <v>-9.9301034976918799E-3</v>
      </c>
      <c r="P211" s="34">
        <f t="shared" si="17"/>
        <v>5.9467640194596303E-3</v>
      </c>
    </row>
    <row r="212" spans="2:16" x14ac:dyDescent="0.2">
      <c r="B212" s="12" t="s">
        <v>279</v>
      </c>
      <c r="C212" s="32">
        <f>'1.RETURNS'!D212</f>
        <v>5.6692165333906775E-3</v>
      </c>
      <c r="D212" s="30">
        <f t="shared" si="14"/>
        <v>3.2140016102470208E-5</v>
      </c>
      <c r="E212" s="30">
        <f t="shared" si="15"/>
        <v>5.6692165333906775E-3</v>
      </c>
      <c r="O212" s="34">
        <f t="shared" si="16"/>
        <v>5.9467640194596303E-3</v>
      </c>
      <c r="P212" s="34">
        <f t="shared" si="17"/>
        <v>5.6692165333906775E-3</v>
      </c>
    </row>
    <row r="213" spans="2:16" x14ac:dyDescent="0.2">
      <c r="B213" s="17" t="s">
        <v>280</v>
      </c>
      <c r="C213" s="32">
        <f>'1.RETURNS'!D213</f>
        <v>5.7490828885752975E-3</v>
      </c>
      <c r="D213" s="33">
        <f t="shared" si="14"/>
        <v>3.3051954059709286E-5</v>
      </c>
      <c r="E213" s="33">
        <f t="shared" si="15"/>
        <v>5.7490828885752975E-3</v>
      </c>
      <c r="O213" s="34">
        <f t="shared" si="16"/>
        <v>5.6692165333906775E-3</v>
      </c>
      <c r="P213" s="34">
        <f t="shared" si="17"/>
        <v>5.7490828885752975E-3</v>
      </c>
    </row>
    <row r="214" spans="2:16" x14ac:dyDescent="0.2">
      <c r="B214" s="12" t="s">
        <v>281</v>
      </c>
      <c r="C214" s="32">
        <f>'1.RETURNS'!D214</f>
        <v>4.1351031865498641E-2</v>
      </c>
      <c r="D214" s="30">
        <f t="shared" si="14"/>
        <v>1.709907836341484E-3</v>
      </c>
      <c r="E214" s="30">
        <f t="shared" si="15"/>
        <v>4.1351031865498641E-2</v>
      </c>
      <c r="O214" s="34">
        <f t="shared" si="16"/>
        <v>5.7490828885752975E-3</v>
      </c>
      <c r="P214" s="34">
        <f t="shared" si="17"/>
        <v>4.1351031865498641E-2</v>
      </c>
    </row>
    <row r="215" spans="2:16" x14ac:dyDescent="0.2">
      <c r="B215" s="17" t="s">
        <v>282</v>
      </c>
      <c r="C215" s="32">
        <f>'1.RETURNS'!D215</f>
        <v>8.5110735661844388E-3</v>
      </c>
      <c r="D215" s="33">
        <f t="shared" si="14"/>
        <v>7.2438373249003496E-5</v>
      </c>
      <c r="E215" s="33">
        <f t="shared" si="15"/>
        <v>8.5110735661844388E-3</v>
      </c>
      <c r="O215" s="34">
        <f t="shared" si="16"/>
        <v>4.1351031865498641E-2</v>
      </c>
      <c r="P215" s="34">
        <f t="shared" si="17"/>
        <v>8.5110735661844388E-3</v>
      </c>
    </row>
    <row r="216" spans="2:16" x14ac:dyDescent="0.2">
      <c r="B216" s="12" t="s">
        <v>283</v>
      </c>
      <c r="C216" s="32">
        <f>'1.RETURNS'!D216</f>
        <v>1.2512085499561955E-2</v>
      </c>
      <c r="D216" s="30">
        <f t="shared" si="14"/>
        <v>1.5655228354834855E-4</v>
      </c>
      <c r="E216" s="30">
        <f t="shared" si="15"/>
        <v>1.2512085499561955E-2</v>
      </c>
      <c r="O216" s="34">
        <f t="shared" si="16"/>
        <v>8.5110735661844388E-3</v>
      </c>
      <c r="P216" s="34">
        <f t="shared" si="17"/>
        <v>1.2512085499561955E-2</v>
      </c>
    </row>
    <row r="217" spans="2:16" x14ac:dyDescent="0.2">
      <c r="B217" s="17" t="s">
        <v>284</v>
      </c>
      <c r="C217" s="32">
        <f>'1.RETURNS'!D217</f>
        <v>1.1155349877315108E-2</v>
      </c>
      <c r="D217" s="33">
        <f t="shared" si="14"/>
        <v>1.244418308853142E-4</v>
      </c>
      <c r="E217" s="33">
        <f t="shared" si="15"/>
        <v>1.1155349877315108E-2</v>
      </c>
      <c r="O217" s="34">
        <f t="shared" si="16"/>
        <v>1.2512085499561955E-2</v>
      </c>
      <c r="P217" s="34">
        <f t="shared" si="17"/>
        <v>1.1155349877315108E-2</v>
      </c>
    </row>
    <row r="218" spans="2:16" x14ac:dyDescent="0.2">
      <c r="B218" s="12" t="s">
        <v>285</v>
      </c>
      <c r="C218" s="32">
        <f>'1.RETURNS'!D218</f>
        <v>7.5371722364892275E-3</v>
      </c>
      <c r="D218" s="30">
        <f t="shared" si="14"/>
        <v>5.6808965322504022E-5</v>
      </c>
      <c r="E218" s="30">
        <f t="shared" si="15"/>
        <v>7.5371722364892275E-3</v>
      </c>
      <c r="O218" s="34">
        <f t="shared" si="16"/>
        <v>1.1155349877315108E-2</v>
      </c>
      <c r="P218" s="34">
        <f t="shared" si="17"/>
        <v>7.5371722364892275E-3</v>
      </c>
    </row>
    <row r="219" spans="2:16" x14ac:dyDescent="0.2">
      <c r="B219" s="17" t="s">
        <v>286</v>
      </c>
      <c r="C219" s="32">
        <f>'1.RETURNS'!D219</f>
        <v>-2.9510595656663517E-3</v>
      </c>
      <c r="D219" s="33">
        <f t="shared" si="14"/>
        <v>8.708752560110876E-6</v>
      </c>
      <c r="E219" s="33">
        <f t="shared" si="15"/>
        <v>2.9510595656663517E-3</v>
      </c>
      <c r="O219" s="34">
        <f t="shared" si="16"/>
        <v>7.5371722364892275E-3</v>
      </c>
      <c r="P219" s="34">
        <f t="shared" si="17"/>
        <v>-2.9510595656663517E-3</v>
      </c>
    </row>
    <row r="220" spans="2:16" x14ac:dyDescent="0.2">
      <c r="B220" s="12" t="s">
        <v>287</v>
      </c>
      <c r="C220" s="32">
        <f>'1.RETURNS'!D220</f>
        <v>7.7331655324222957E-3</v>
      </c>
      <c r="D220" s="30">
        <f t="shared" si="14"/>
        <v>5.980184915184421E-5</v>
      </c>
      <c r="E220" s="30">
        <f t="shared" si="15"/>
        <v>7.7331655324222957E-3</v>
      </c>
      <c r="O220" s="34">
        <f t="shared" si="16"/>
        <v>-2.9510595656663517E-3</v>
      </c>
      <c r="P220" s="34">
        <f t="shared" si="17"/>
        <v>7.7331655324222957E-3</v>
      </c>
    </row>
    <row r="221" spans="2:16" x14ac:dyDescent="0.2">
      <c r="B221" s="17" t="s">
        <v>288</v>
      </c>
      <c r="C221" s="32">
        <f>'1.RETURNS'!D221</f>
        <v>-7.5516283254135393E-3</v>
      </c>
      <c r="D221" s="33">
        <f t="shared" si="14"/>
        <v>5.7027090365188098E-5</v>
      </c>
      <c r="E221" s="33">
        <f t="shared" si="15"/>
        <v>7.5516283254135393E-3</v>
      </c>
      <c r="O221" s="34">
        <f t="shared" si="16"/>
        <v>7.7331655324222957E-3</v>
      </c>
      <c r="P221" s="34">
        <f t="shared" si="17"/>
        <v>-7.5516283254135393E-3</v>
      </c>
    </row>
    <row r="222" spans="2:16" x14ac:dyDescent="0.2">
      <c r="B222" s="12" t="s">
        <v>289</v>
      </c>
      <c r="C222" s="32">
        <f>'1.RETURNS'!D222</f>
        <v>-2.3095867274594848E-3</v>
      </c>
      <c r="D222" s="30">
        <f t="shared" si="14"/>
        <v>5.3341908516570126E-6</v>
      </c>
      <c r="E222" s="30">
        <f t="shared" si="15"/>
        <v>2.3095867274594848E-3</v>
      </c>
      <c r="O222" s="34">
        <f t="shared" si="16"/>
        <v>-7.5516283254135393E-3</v>
      </c>
      <c r="P222" s="34">
        <f t="shared" si="17"/>
        <v>-2.3095867274594848E-3</v>
      </c>
    </row>
    <row r="223" spans="2:16" x14ac:dyDescent="0.2">
      <c r="B223" s="17" t="s">
        <v>290</v>
      </c>
      <c r="C223" s="32">
        <f>'1.RETURNS'!D223</f>
        <v>-4.5357518632557362E-3</v>
      </c>
      <c r="D223" s="33">
        <f t="shared" si="14"/>
        <v>2.0573044965027884E-5</v>
      </c>
      <c r="E223" s="33">
        <f t="shared" si="15"/>
        <v>4.5357518632557362E-3</v>
      </c>
      <c r="O223" s="34">
        <f t="shared" si="16"/>
        <v>-2.3095867274594848E-3</v>
      </c>
      <c r="P223" s="34">
        <f t="shared" si="17"/>
        <v>-4.5357518632557362E-3</v>
      </c>
    </row>
    <row r="224" spans="2:16" x14ac:dyDescent="0.2">
      <c r="B224" s="12" t="s">
        <v>291</v>
      </c>
      <c r="C224" s="32">
        <f>'1.RETURNS'!D224</f>
        <v>1.0728944898763643E-3</v>
      </c>
      <c r="D224" s="30">
        <f t="shared" si="14"/>
        <v>1.1511025864070641E-6</v>
      </c>
      <c r="E224" s="30">
        <f t="shared" si="15"/>
        <v>1.0728944898763643E-3</v>
      </c>
      <c r="O224" s="34">
        <f t="shared" si="16"/>
        <v>-4.5357518632557362E-3</v>
      </c>
      <c r="P224" s="34">
        <f t="shared" si="17"/>
        <v>1.0728944898763643E-3</v>
      </c>
    </row>
    <row r="225" spans="2:16" x14ac:dyDescent="0.2">
      <c r="B225" s="17" t="s">
        <v>292</v>
      </c>
      <c r="C225" s="32">
        <f>'1.RETURNS'!D225</f>
        <v>2.2973813584132235E-2</v>
      </c>
      <c r="D225" s="33">
        <f t="shared" si="14"/>
        <v>5.2779611059845875E-4</v>
      </c>
      <c r="E225" s="33">
        <f t="shared" si="15"/>
        <v>2.2973813584132235E-2</v>
      </c>
      <c r="O225" s="34">
        <f t="shared" si="16"/>
        <v>1.0728944898763643E-3</v>
      </c>
      <c r="P225" s="34">
        <f t="shared" si="17"/>
        <v>2.2973813584132235E-2</v>
      </c>
    </row>
    <row r="226" spans="2:16" x14ac:dyDescent="0.2">
      <c r="B226" s="12" t="s">
        <v>293</v>
      </c>
      <c r="C226" s="32">
        <f>'1.RETURNS'!D226</f>
        <v>-2.2892930712884726E-2</v>
      </c>
      <c r="D226" s="30">
        <f t="shared" si="14"/>
        <v>5.2408627662494072E-4</v>
      </c>
      <c r="E226" s="30">
        <f t="shared" si="15"/>
        <v>2.2892930712884726E-2</v>
      </c>
      <c r="O226" s="34">
        <f t="shared" si="16"/>
        <v>2.2973813584132235E-2</v>
      </c>
      <c r="P226" s="34">
        <f t="shared" si="17"/>
        <v>-2.2892930712884726E-2</v>
      </c>
    </row>
    <row r="227" spans="2:16" x14ac:dyDescent="0.2">
      <c r="B227" s="17" t="s">
        <v>294</v>
      </c>
      <c r="C227" s="32">
        <f>'1.RETURNS'!D227</f>
        <v>8.5779369339966955E-3</v>
      </c>
      <c r="D227" s="33">
        <f t="shared" si="14"/>
        <v>7.3581002043624627E-5</v>
      </c>
      <c r="E227" s="33">
        <f t="shared" si="15"/>
        <v>8.5779369339966955E-3</v>
      </c>
      <c r="O227" s="34">
        <f t="shared" si="16"/>
        <v>-2.2892930712884726E-2</v>
      </c>
      <c r="P227" s="34">
        <f t="shared" si="17"/>
        <v>8.5779369339966955E-3</v>
      </c>
    </row>
    <row r="228" spans="2:16" x14ac:dyDescent="0.2">
      <c r="B228" s="12" t="s">
        <v>295</v>
      </c>
      <c r="C228" s="32">
        <f>'1.RETURNS'!D228</f>
        <v>-1.6188710353566772E-2</v>
      </c>
      <c r="D228" s="30">
        <f t="shared" si="14"/>
        <v>2.6207434291168001E-4</v>
      </c>
      <c r="E228" s="30">
        <f t="shared" si="15"/>
        <v>1.6188710353566772E-2</v>
      </c>
      <c r="O228" s="34">
        <f t="shared" si="16"/>
        <v>8.5779369339966955E-3</v>
      </c>
      <c r="P228" s="34">
        <f t="shared" si="17"/>
        <v>-1.6188710353566772E-2</v>
      </c>
    </row>
    <row r="229" spans="2:16" x14ac:dyDescent="0.2">
      <c r="B229" s="17" t="s">
        <v>296</v>
      </c>
      <c r="C229" s="32">
        <f>'1.RETURNS'!D229</f>
        <v>-5.2365124520414343E-3</v>
      </c>
      <c r="D229" s="33">
        <f t="shared" si="14"/>
        <v>2.7421062660384996E-5</v>
      </c>
      <c r="E229" s="33">
        <f t="shared" si="15"/>
        <v>5.2365124520414343E-3</v>
      </c>
      <c r="O229" s="34">
        <f t="shared" si="16"/>
        <v>-1.6188710353566772E-2</v>
      </c>
      <c r="P229" s="34">
        <f t="shared" si="17"/>
        <v>-5.2365124520414343E-3</v>
      </c>
    </row>
    <row r="230" spans="2:16" x14ac:dyDescent="0.2">
      <c r="B230" s="12" t="s">
        <v>297</v>
      </c>
      <c r="C230" s="32">
        <f>'1.RETURNS'!D230</f>
        <v>1.1341792619253785E-2</v>
      </c>
      <c r="D230" s="30">
        <f t="shared" si="14"/>
        <v>1.2863625981815964E-4</v>
      </c>
      <c r="E230" s="30">
        <f t="shared" si="15"/>
        <v>1.1341792619253785E-2</v>
      </c>
      <c r="O230" s="34">
        <f t="shared" si="16"/>
        <v>-5.2365124520414343E-3</v>
      </c>
      <c r="P230" s="34">
        <f t="shared" si="17"/>
        <v>1.1341792619253785E-2</v>
      </c>
    </row>
    <row r="231" spans="2:16" x14ac:dyDescent="0.2">
      <c r="B231" s="17" t="s">
        <v>298</v>
      </c>
      <c r="C231" s="32">
        <f>'1.RETURNS'!D231</f>
        <v>9.7154536546631095E-4</v>
      </c>
      <c r="D231" s="33">
        <f t="shared" si="14"/>
        <v>9.4390039715906774E-7</v>
      </c>
      <c r="E231" s="33">
        <f t="shared" si="15"/>
        <v>9.7154536546631095E-4</v>
      </c>
      <c r="O231" s="34">
        <f t="shared" si="16"/>
        <v>1.1341792619253785E-2</v>
      </c>
      <c r="P231" s="34">
        <f t="shared" si="17"/>
        <v>9.7154536546631095E-4</v>
      </c>
    </row>
    <row r="232" spans="2:16" x14ac:dyDescent="0.2">
      <c r="B232" s="12" t="s">
        <v>299</v>
      </c>
      <c r="C232" s="32">
        <f>'1.RETURNS'!D232</f>
        <v>-1.0138829373300696E-2</v>
      </c>
      <c r="D232" s="30">
        <f t="shared" si="14"/>
        <v>1.0279586106090499E-4</v>
      </c>
      <c r="E232" s="30">
        <f t="shared" si="15"/>
        <v>1.0138829373300696E-2</v>
      </c>
      <c r="O232" s="34">
        <f t="shared" si="16"/>
        <v>9.7154536546631095E-4</v>
      </c>
      <c r="P232" s="34">
        <f t="shared" si="17"/>
        <v>-1.0138829373300696E-2</v>
      </c>
    </row>
    <row r="233" spans="2:16" x14ac:dyDescent="0.2">
      <c r="B233" s="17" t="s">
        <v>300</v>
      </c>
      <c r="C233" s="32">
        <f>'1.RETURNS'!D233</f>
        <v>-7.6550932948300258E-3</v>
      </c>
      <c r="D233" s="33">
        <f t="shared" si="14"/>
        <v>5.860045335255162E-5</v>
      </c>
      <c r="E233" s="33">
        <f t="shared" si="15"/>
        <v>7.6550932948300258E-3</v>
      </c>
      <c r="O233" s="34">
        <f t="shared" si="16"/>
        <v>-1.0138829373300696E-2</v>
      </c>
      <c r="P233" s="34">
        <f t="shared" si="17"/>
        <v>-7.6550932948300258E-3</v>
      </c>
    </row>
    <row r="234" spans="2:16" x14ac:dyDescent="0.2">
      <c r="B234" s="12" t="s">
        <v>301</v>
      </c>
      <c r="C234" s="32">
        <f>'1.RETURNS'!D234</f>
        <v>7.3911310328928399E-3</v>
      </c>
      <c r="D234" s="30">
        <f t="shared" si="14"/>
        <v>5.462881794539158E-5</v>
      </c>
      <c r="E234" s="30">
        <f t="shared" si="15"/>
        <v>7.3911310328928399E-3</v>
      </c>
      <c r="O234" s="34">
        <f t="shared" si="16"/>
        <v>-7.6550932948300258E-3</v>
      </c>
      <c r="P234" s="34">
        <f t="shared" si="17"/>
        <v>7.3911310328928399E-3</v>
      </c>
    </row>
    <row r="235" spans="2:16" x14ac:dyDescent="0.2">
      <c r="B235" s="17" t="s">
        <v>302</v>
      </c>
      <c r="C235" s="32">
        <f>'1.RETURNS'!D235</f>
        <v>-7.3817167207849569E-3</v>
      </c>
      <c r="D235" s="33">
        <f t="shared" si="14"/>
        <v>5.4489741745916214E-5</v>
      </c>
      <c r="E235" s="33">
        <f t="shared" si="15"/>
        <v>7.3817167207849569E-3</v>
      </c>
      <c r="O235" s="34">
        <f t="shared" si="16"/>
        <v>7.3911310328928399E-3</v>
      </c>
      <c r="P235" s="34">
        <f t="shared" si="17"/>
        <v>-7.3817167207849569E-3</v>
      </c>
    </row>
    <row r="236" spans="2:16" x14ac:dyDescent="0.2">
      <c r="B236" s="12" t="s">
        <v>303</v>
      </c>
      <c r="C236" s="32">
        <f>'1.RETURNS'!D236</f>
        <v>2.5879256400356174E-3</v>
      </c>
      <c r="D236" s="30">
        <f t="shared" si="14"/>
        <v>6.6973591183537597E-6</v>
      </c>
      <c r="E236" s="30">
        <f t="shared" si="15"/>
        <v>2.5879256400356174E-3</v>
      </c>
      <c r="O236" s="34">
        <f t="shared" si="16"/>
        <v>-7.3817167207849569E-3</v>
      </c>
      <c r="P236" s="34">
        <f t="shared" si="17"/>
        <v>2.5879256400356174E-3</v>
      </c>
    </row>
    <row r="237" spans="2:16" x14ac:dyDescent="0.2">
      <c r="B237" s="17" t="s">
        <v>304</v>
      </c>
      <c r="C237" s="32">
        <f>'1.RETURNS'!D237</f>
        <v>7.1338060940636988E-4</v>
      </c>
      <c r="D237" s="33">
        <f t="shared" si="14"/>
        <v>5.0891189387700368E-7</v>
      </c>
      <c r="E237" s="33">
        <f t="shared" si="15"/>
        <v>7.1338060940636988E-4</v>
      </c>
      <c r="O237" s="34">
        <f t="shared" si="16"/>
        <v>2.5879256400356174E-3</v>
      </c>
      <c r="P237" s="34">
        <f t="shared" si="17"/>
        <v>7.1338060940636988E-4</v>
      </c>
    </row>
    <row r="238" spans="2:16" x14ac:dyDescent="0.2">
      <c r="B238" s="12" t="s">
        <v>305</v>
      </c>
      <c r="C238" s="32">
        <f>'1.RETURNS'!D238</f>
        <v>-5.770891327860378E-3</v>
      </c>
      <c r="D238" s="30">
        <f t="shared" si="14"/>
        <v>3.3303186717974113E-5</v>
      </c>
      <c r="E238" s="30">
        <f t="shared" si="15"/>
        <v>5.770891327860378E-3</v>
      </c>
      <c r="O238" s="34">
        <f t="shared" si="16"/>
        <v>7.1338060940636988E-4</v>
      </c>
      <c r="P238" s="34">
        <f t="shared" si="17"/>
        <v>-5.770891327860378E-3</v>
      </c>
    </row>
    <row r="239" spans="2:16" x14ac:dyDescent="0.2">
      <c r="B239" s="17" t="s">
        <v>306</v>
      </c>
      <c r="C239" s="32">
        <f>'1.RETURNS'!D239</f>
        <v>2.1259342768911883E-2</v>
      </c>
      <c r="D239" s="33">
        <f t="shared" si="14"/>
        <v>4.5195965496608597E-4</v>
      </c>
      <c r="E239" s="33">
        <f t="shared" si="15"/>
        <v>2.1259342768911883E-2</v>
      </c>
      <c r="O239" s="34">
        <f t="shared" si="16"/>
        <v>-5.770891327860378E-3</v>
      </c>
      <c r="P239" s="34">
        <f t="shared" si="17"/>
        <v>2.1259342768911883E-2</v>
      </c>
    </row>
    <row r="240" spans="2:16" x14ac:dyDescent="0.2">
      <c r="B240" s="12" t="s">
        <v>307</v>
      </c>
      <c r="C240" s="32">
        <f>'1.RETURNS'!D240</f>
        <v>8.0424823987987754E-3</v>
      </c>
      <c r="D240" s="30">
        <f t="shared" si="14"/>
        <v>6.46815231349881E-5</v>
      </c>
      <c r="E240" s="30">
        <f t="shared" si="15"/>
        <v>8.0424823987987754E-3</v>
      </c>
      <c r="O240" s="34">
        <f t="shared" si="16"/>
        <v>2.1259342768911883E-2</v>
      </c>
      <c r="P240" s="34">
        <f t="shared" si="17"/>
        <v>8.0424823987987754E-3</v>
      </c>
    </row>
    <row r="241" spans="2:16" x14ac:dyDescent="0.2">
      <c r="B241" s="17" t="s">
        <v>308</v>
      </c>
      <c r="C241" s="32">
        <f>'1.RETURNS'!D241</f>
        <v>-2.1204253416262798E-2</v>
      </c>
      <c r="D241" s="33">
        <f t="shared" si="14"/>
        <v>4.4962036294109251E-4</v>
      </c>
      <c r="E241" s="33">
        <f t="shared" si="15"/>
        <v>2.1204253416262798E-2</v>
      </c>
      <c r="O241" s="34">
        <f t="shared" si="16"/>
        <v>8.0424823987987754E-3</v>
      </c>
      <c r="P241" s="34">
        <f t="shared" si="17"/>
        <v>-2.1204253416262798E-2</v>
      </c>
    </row>
    <row r="242" spans="2:16" x14ac:dyDescent="0.2">
      <c r="B242" s="12" t="s">
        <v>309</v>
      </c>
      <c r="C242" s="32">
        <f>'1.RETURNS'!D242</f>
        <v>2.5267324531283086E-3</v>
      </c>
      <c r="D242" s="30">
        <f t="shared" si="14"/>
        <v>6.3843768896918003E-6</v>
      </c>
      <c r="E242" s="30">
        <f t="shared" si="15"/>
        <v>2.5267324531283086E-3</v>
      </c>
      <c r="O242" s="34">
        <f t="shared" si="16"/>
        <v>-2.1204253416262798E-2</v>
      </c>
      <c r="P242" s="34">
        <f t="shared" si="17"/>
        <v>2.5267324531283086E-3</v>
      </c>
    </row>
    <row r="243" spans="2:16" x14ac:dyDescent="0.2">
      <c r="B243" s="17" t="s">
        <v>310</v>
      </c>
      <c r="C243" s="32">
        <f>'1.RETURNS'!D243</f>
        <v>-6.0598866695904495E-3</v>
      </c>
      <c r="D243" s="33">
        <f t="shared" si="14"/>
        <v>3.6722226448280027E-5</v>
      </c>
      <c r="E243" s="33">
        <f t="shared" si="15"/>
        <v>6.0598866695904495E-3</v>
      </c>
      <c r="O243" s="34">
        <f t="shared" si="16"/>
        <v>2.5267324531283086E-3</v>
      </c>
      <c r="P243" s="34">
        <f t="shared" si="17"/>
        <v>-6.0598866695904495E-3</v>
      </c>
    </row>
    <row r="244" spans="2:16" x14ac:dyDescent="0.2">
      <c r="B244" s="12" t="s">
        <v>311</v>
      </c>
      <c r="C244" s="32">
        <f>'1.RETURNS'!D244</f>
        <v>8.7269403652824196E-3</v>
      </c>
      <c r="D244" s="30">
        <f t="shared" si="14"/>
        <v>7.615948813919565E-5</v>
      </c>
      <c r="E244" s="30">
        <f t="shared" si="15"/>
        <v>8.7269403652824196E-3</v>
      </c>
      <c r="O244" s="34">
        <f t="shared" si="16"/>
        <v>-6.0598866695904495E-3</v>
      </c>
      <c r="P244" s="34">
        <f t="shared" si="17"/>
        <v>8.7269403652824196E-3</v>
      </c>
    </row>
    <row r="245" spans="2:16" x14ac:dyDescent="0.2">
      <c r="B245" s="17" t="s">
        <v>312</v>
      </c>
      <c r="C245" s="32">
        <f>'1.RETURNS'!D245</f>
        <v>-7.7621141880172334E-3</v>
      </c>
      <c r="D245" s="33">
        <f t="shared" si="14"/>
        <v>6.0250416667818433E-5</v>
      </c>
      <c r="E245" s="33">
        <f t="shared" si="15"/>
        <v>7.7621141880172334E-3</v>
      </c>
      <c r="O245" s="34">
        <f t="shared" si="16"/>
        <v>8.7269403652824196E-3</v>
      </c>
      <c r="P245" s="34">
        <f t="shared" si="17"/>
        <v>-7.7621141880172334E-3</v>
      </c>
    </row>
    <row r="246" spans="2:16" x14ac:dyDescent="0.2">
      <c r="B246" s="12" t="s">
        <v>313</v>
      </c>
      <c r="C246" s="32">
        <f>'1.RETURNS'!D246</f>
        <v>-9.2020297906603632E-4</v>
      </c>
      <c r="D246" s="30">
        <f t="shared" si="14"/>
        <v>8.4677352268200803E-7</v>
      </c>
      <c r="E246" s="30">
        <f t="shared" si="15"/>
        <v>9.2020297906603632E-4</v>
      </c>
      <c r="O246" s="34">
        <f t="shared" si="16"/>
        <v>-7.7621141880172334E-3</v>
      </c>
      <c r="P246" s="34">
        <f t="shared" si="17"/>
        <v>-9.2020297906603632E-4</v>
      </c>
    </row>
    <row r="247" spans="2:16" x14ac:dyDescent="0.2">
      <c r="B247" s="17" t="s">
        <v>314</v>
      </c>
      <c r="C247" s="32">
        <f>'1.RETURNS'!D247</f>
        <v>5.1768437149770901E-3</v>
      </c>
      <c r="D247" s="33">
        <f t="shared" si="14"/>
        <v>2.6799710849297799E-5</v>
      </c>
      <c r="E247" s="33">
        <f t="shared" si="15"/>
        <v>5.1768437149770901E-3</v>
      </c>
      <c r="O247" s="34">
        <f t="shared" si="16"/>
        <v>-9.2020297906603632E-4</v>
      </c>
      <c r="P247" s="34">
        <f t="shared" si="17"/>
        <v>5.1768437149770901E-3</v>
      </c>
    </row>
    <row r="248" spans="2:16" x14ac:dyDescent="0.2">
      <c r="B248" s="12" t="s">
        <v>315</v>
      </c>
      <c r="C248" s="32">
        <f>'1.RETURNS'!D248</f>
        <v>8.9665421781810195E-3</v>
      </c>
      <c r="D248" s="30">
        <f t="shared" si="14"/>
        <v>8.0398878633099218E-5</v>
      </c>
      <c r="E248" s="30">
        <f t="shared" si="15"/>
        <v>8.9665421781810195E-3</v>
      </c>
      <c r="O248" s="34">
        <f t="shared" si="16"/>
        <v>5.1768437149770901E-3</v>
      </c>
      <c r="P248" s="34">
        <f t="shared" si="17"/>
        <v>8.9665421781810195E-3</v>
      </c>
    </row>
    <row r="249" spans="2:16" x14ac:dyDescent="0.2">
      <c r="B249" s="17" t="s">
        <v>316</v>
      </c>
      <c r="C249" s="32">
        <f>'1.RETURNS'!D249</f>
        <v>-1.2392910283685573E-2</v>
      </c>
      <c r="D249" s="33">
        <f t="shared" si="14"/>
        <v>1.5358422529947963E-4</v>
      </c>
      <c r="E249" s="33">
        <f t="shared" si="15"/>
        <v>1.2392910283685573E-2</v>
      </c>
      <c r="O249" s="34">
        <f t="shared" si="16"/>
        <v>8.9665421781810195E-3</v>
      </c>
      <c r="P249" s="34">
        <f t="shared" si="17"/>
        <v>-1.2392910283685573E-2</v>
      </c>
    </row>
    <row r="250" spans="2:16" x14ac:dyDescent="0.2">
      <c r="B250" s="12" t="s">
        <v>317</v>
      </c>
      <c r="C250" s="32">
        <f>'1.RETURNS'!D250</f>
        <v>-3.5534278142564791E-3</v>
      </c>
      <c r="D250" s="30">
        <f t="shared" si="14"/>
        <v>1.2626849231131579E-5</v>
      </c>
      <c r="E250" s="30">
        <f t="shared" si="15"/>
        <v>3.5534278142564791E-3</v>
      </c>
      <c r="O250" s="34">
        <f t="shared" si="16"/>
        <v>-1.2392910283685573E-2</v>
      </c>
      <c r="P250" s="34">
        <f t="shared" si="17"/>
        <v>-3.5534278142564791E-3</v>
      </c>
    </row>
    <row r="251" spans="2:16" x14ac:dyDescent="0.2">
      <c r="B251" s="17" t="s">
        <v>318</v>
      </c>
      <c r="C251" s="32">
        <f>'1.RETURNS'!D251</f>
        <v>-4.3904913500291002E-3</v>
      </c>
      <c r="D251" s="33">
        <f t="shared" si="14"/>
        <v>1.9276414294680349E-5</v>
      </c>
      <c r="E251" s="33">
        <f t="shared" si="15"/>
        <v>4.3904913500291002E-3</v>
      </c>
      <c r="O251" s="34">
        <f t="shared" si="16"/>
        <v>-3.5534278142564791E-3</v>
      </c>
      <c r="P251" s="34">
        <f t="shared" si="17"/>
        <v>-4.3904913500291002E-3</v>
      </c>
    </row>
    <row r="252" spans="2:16" x14ac:dyDescent="0.2">
      <c r="B252" s="12" t="s">
        <v>319</v>
      </c>
      <c r="C252" s="32">
        <f>'1.RETURNS'!D252</f>
        <v>-6.3081371950149566E-3</v>
      </c>
      <c r="D252" s="30">
        <f t="shared" si="14"/>
        <v>3.9792594871131163E-5</v>
      </c>
      <c r="E252" s="30">
        <f t="shared" si="15"/>
        <v>6.3081371950149566E-3</v>
      </c>
      <c r="O252" s="34">
        <f t="shared" si="16"/>
        <v>-4.3904913500291002E-3</v>
      </c>
      <c r="P252" s="34">
        <f t="shared" si="17"/>
        <v>-6.3081371950149566E-3</v>
      </c>
    </row>
    <row r="253" spans="2:16" x14ac:dyDescent="0.2">
      <c r="B253" s="17" t="s">
        <v>320</v>
      </c>
      <c r="C253" s="32">
        <f>'1.RETURNS'!D253</f>
        <v>1.8866950773888582E-2</v>
      </c>
      <c r="D253" s="33">
        <f t="shared" si="14"/>
        <v>3.5596183150433497E-4</v>
      </c>
      <c r="E253" s="33">
        <f t="shared" si="15"/>
        <v>1.8866950773888582E-2</v>
      </c>
      <c r="O253" s="34">
        <f t="shared" si="16"/>
        <v>-6.3081371950149566E-3</v>
      </c>
      <c r="P253" s="34">
        <f t="shared" si="17"/>
        <v>1.8866950773888582E-2</v>
      </c>
    </row>
    <row r="254" spans="2:16" x14ac:dyDescent="0.2">
      <c r="B254" s="12" t="s">
        <v>321</v>
      </c>
      <c r="C254" s="32">
        <f>'1.RETURNS'!D254</f>
        <v>4.9861947356177119E-3</v>
      </c>
      <c r="D254" s="30">
        <f t="shared" si="14"/>
        <v>2.4862137941501785E-5</v>
      </c>
      <c r="E254" s="30">
        <f t="shared" si="15"/>
        <v>4.9861947356177119E-3</v>
      </c>
      <c r="O254" s="34">
        <f t="shared" si="16"/>
        <v>1.8866950773888582E-2</v>
      </c>
      <c r="P254" s="34">
        <f t="shared" si="17"/>
        <v>4.9861947356177119E-3</v>
      </c>
    </row>
    <row r="255" spans="2:16" x14ac:dyDescent="0.2">
      <c r="B255" s="17" t="s">
        <v>322</v>
      </c>
      <c r="C255" s="32">
        <f>'1.RETURNS'!D255</f>
        <v>-1.2639391917641945E-2</v>
      </c>
      <c r="D255" s="33">
        <f t="shared" si="14"/>
        <v>1.5975422804775252E-4</v>
      </c>
      <c r="E255" s="33">
        <f t="shared" si="15"/>
        <v>1.2639391917641945E-2</v>
      </c>
      <c r="O255" s="34">
        <f t="shared" si="16"/>
        <v>4.9861947356177119E-3</v>
      </c>
      <c r="P255" s="34">
        <f t="shared" si="17"/>
        <v>-1.2639391917641945E-2</v>
      </c>
    </row>
  </sheetData>
  <mergeCells count="10">
    <mergeCell ref="O3:P3"/>
    <mergeCell ref="I47:J47"/>
    <mergeCell ref="I46:J46"/>
    <mergeCell ref="I49:J49"/>
    <mergeCell ref="A2:G2"/>
    <mergeCell ref="I45:J45"/>
    <mergeCell ref="I50:J50"/>
    <mergeCell ref="I48:J48"/>
    <mergeCell ref="G44:J44"/>
    <mergeCell ref="I3:M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71"/>
  <sheetViews>
    <sheetView showGridLines="0" topLeftCell="B1" zoomScale="80" zoomScaleNormal="80" workbookViewId="0">
      <selection activeCell="H4" sqref="H4"/>
    </sheetView>
  </sheetViews>
  <sheetFormatPr baseColWidth="10" defaultColWidth="8.6640625" defaultRowHeight="16" x14ac:dyDescent="0.2"/>
  <cols>
    <col min="1" max="1" width="1.6640625" style="61" customWidth="1"/>
    <col min="2" max="2" width="20" style="61" bestFit="1" customWidth="1"/>
    <col min="3" max="6" width="16" style="224" customWidth="1"/>
    <col min="7" max="7" width="15.33203125" style="61" customWidth="1"/>
    <col min="8" max="8" width="52" style="61" customWidth="1"/>
    <col min="9" max="9" width="2" style="61" customWidth="1"/>
    <col min="10" max="16384" width="8.6640625" style="61"/>
  </cols>
  <sheetData>
    <row r="1" spans="2:20" x14ac:dyDescent="0.2">
      <c r="C1" s="213"/>
      <c r="D1" s="61"/>
      <c r="E1" s="61"/>
      <c r="F1" s="213"/>
    </row>
    <row r="2" spans="2:20" ht="16" customHeight="1" x14ac:dyDescent="0.2">
      <c r="B2" s="60" t="s">
        <v>401</v>
      </c>
      <c r="C2" s="69"/>
      <c r="D2" s="69"/>
      <c r="E2" s="69"/>
      <c r="F2" s="69"/>
      <c r="G2" s="70"/>
    </row>
    <row r="3" spans="2:20" ht="57" customHeight="1" thickBot="1" x14ac:dyDescent="0.25">
      <c r="B3" s="73" t="s">
        <v>402</v>
      </c>
      <c r="C3" s="203" t="s">
        <v>403</v>
      </c>
      <c r="D3" s="73" t="s">
        <v>404</v>
      </c>
      <c r="E3" s="73" t="s">
        <v>405</v>
      </c>
      <c r="F3" s="203" t="s">
        <v>406</v>
      </c>
      <c r="G3" s="204" t="s">
        <v>407</v>
      </c>
    </row>
    <row r="4" spans="2:20" ht="17" x14ac:dyDescent="0.2">
      <c r="B4" s="166">
        <v>1</v>
      </c>
      <c r="C4" s="205">
        <f t="shared" ref="C4:C35" ca="1" si="0">_xlfn.NORM.S.INV(RAND())</f>
        <v>-0.38383894349836289</v>
      </c>
      <c r="D4" s="167">
        <f ca="1">C4</f>
        <v>-0.38383894349836289</v>
      </c>
      <c r="E4" s="89" t="s">
        <v>36</v>
      </c>
      <c r="F4" s="206" t="s">
        <v>36</v>
      </c>
      <c r="G4" s="207">
        <v>100</v>
      </c>
      <c r="H4" s="188" t="s">
        <v>408</v>
      </c>
      <c r="T4" s="208"/>
    </row>
    <row r="5" spans="2:20" x14ac:dyDescent="0.2">
      <c r="B5" s="161">
        <v>2</v>
      </c>
      <c r="C5" s="205">
        <f t="shared" ca="1" si="0"/>
        <v>-0.58489191981442368</v>
      </c>
      <c r="D5" s="162">
        <f ca="1">D4+C5</f>
        <v>-0.96873086331278657</v>
      </c>
      <c r="E5" s="162">
        <f ca="1">D5-D4</f>
        <v>-0.58489191981442368</v>
      </c>
      <c r="F5" s="209">
        <f>'1.RETURNS'!D5</f>
        <v>5.8848723437282197E-3</v>
      </c>
      <c r="G5" s="207">
        <f>G4*EXP(F5)</f>
        <v>100.59022222222222</v>
      </c>
      <c r="H5" s="189"/>
    </row>
    <row r="6" spans="2:20" ht="34" x14ac:dyDescent="0.2">
      <c r="B6" s="166">
        <v>3</v>
      </c>
      <c r="C6" s="205">
        <f t="shared" ca="1" si="0"/>
        <v>-1.2132108386873461</v>
      </c>
      <c r="D6" s="167">
        <f t="shared" ref="D5:D36" ca="1" si="1">D5+C6</f>
        <v>-2.1819417020001328</v>
      </c>
      <c r="E6" s="167">
        <f t="shared" ref="E5:E36" ca="1" si="2">D6-D5</f>
        <v>-1.2132108386873464</v>
      </c>
      <c r="F6" s="209">
        <f>'1.RETURNS'!D6</f>
        <v>-1.2113657639155101E-3</v>
      </c>
      <c r="G6" s="207">
        <f t="shared" ref="G5:G36" si="3">G5*EXP(F6)</f>
        <v>100.46844444444443</v>
      </c>
      <c r="H6" s="189" t="s">
        <v>409</v>
      </c>
    </row>
    <row r="7" spans="2:20" ht="41" customHeight="1" x14ac:dyDescent="0.2">
      <c r="B7" s="161">
        <v>4</v>
      </c>
      <c r="C7" s="205">
        <f t="shared" ca="1" si="0"/>
        <v>-1.4998538112294064</v>
      </c>
      <c r="D7" s="162">
        <f t="shared" ca="1" si="1"/>
        <v>-3.681795513229539</v>
      </c>
      <c r="E7" s="162">
        <f t="shared" ca="1" si="2"/>
        <v>-1.4998538112294062</v>
      </c>
      <c r="F7" s="209">
        <f>'1.RETURNS'!D7</f>
        <v>6.6707917430471964E-3</v>
      </c>
      <c r="G7" s="207">
        <f>G6*EXP(F7)</f>
        <v>101.14088888888888</v>
      </c>
      <c r="H7" s="189" t="s">
        <v>410</v>
      </c>
    </row>
    <row r="8" spans="2:20" ht="24" customHeight="1" x14ac:dyDescent="0.2">
      <c r="B8" s="166">
        <v>5</v>
      </c>
      <c r="C8" s="205">
        <f t="shared" ca="1" si="0"/>
        <v>1.0809506320329085</v>
      </c>
      <c r="D8" s="167">
        <f t="shared" ca="1" si="1"/>
        <v>-2.6008448811966307</v>
      </c>
      <c r="E8" s="167">
        <f t="shared" ca="1" si="2"/>
        <v>1.0809506320329083</v>
      </c>
      <c r="F8" s="209">
        <f>'1.RETURNS'!D8</f>
        <v>1.6065486617628962E-2</v>
      </c>
      <c r="G8" s="207">
        <f t="shared" si="3"/>
        <v>102.77888888888889</v>
      </c>
      <c r="H8" s="189"/>
      <c r="T8" s="210" t="s">
        <v>411</v>
      </c>
    </row>
    <row r="9" spans="2:20" ht="17" x14ac:dyDescent="0.2">
      <c r="B9" s="161">
        <v>6</v>
      </c>
      <c r="C9" s="205">
        <f t="shared" ca="1" si="0"/>
        <v>-1.3642157087361635</v>
      </c>
      <c r="D9" s="162">
        <f t="shared" ca="1" si="1"/>
        <v>-3.9650605899327944</v>
      </c>
      <c r="E9" s="162">
        <f t="shared" ca="1" si="2"/>
        <v>-1.3642157087361637</v>
      </c>
      <c r="F9" s="209">
        <f>'1.RETURNS'!D9</f>
        <v>-2.4548761294726756E-3</v>
      </c>
      <c r="G9" s="207">
        <f t="shared" si="3"/>
        <v>102.52688888888888</v>
      </c>
      <c r="H9" s="189" t="s">
        <v>412</v>
      </c>
    </row>
    <row r="10" spans="2:20" ht="17" x14ac:dyDescent="0.2">
      <c r="B10" s="166">
        <v>7</v>
      </c>
      <c r="C10" s="205">
        <f t="shared" ca="1" si="0"/>
        <v>0.28407337886073064</v>
      </c>
      <c r="D10" s="167">
        <f t="shared" ca="1" si="1"/>
        <v>-3.6809872110720638</v>
      </c>
      <c r="E10" s="167">
        <f t="shared" ca="1" si="2"/>
        <v>0.28407337886073059</v>
      </c>
      <c r="F10" s="209">
        <f>'1.RETURNS'!D10</f>
        <v>-2.0112502237132545E-3</v>
      </c>
      <c r="G10" s="207">
        <f t="shared" si="3"/>
        <v>102.32088888888887</v>
      </c>
      <c r="H10" s="189" t="s">
        <v>413</v>
      </c>
      <c r="T10" s="208" t="s">
        <v>414</v>
      </c>
    </row>
    <row r="11" spans="2:20" ht="17" x14ac:dyDescent="0.2">
      <c r="B11" s="161">
        <v>8</v>
      </c>
      <c r="C11" s="205">
        <f t="shared" ca="1" si="0"/>
        <v>0.71414913397303781</v>
      </c>
      <c r="D11" s="162">
        <f t="shared" ca="1" si="1"/>
        <v>-2.9668380770990259</v>
      </c>
      <c r="E11" s="162">
        <f t="shared" ca="1" si="2"/>
        <v>0.71414913397303792</v>
      </c>
      <c r="F11" s="209">
        <f>'1.RETURNS'!D11</f>
        <v>1.5334302622674396E-2</v>
      </c>
      <c r="G11" s="207">
        <f t="shared" si="3"/>
        <v>103.90199999999999</v>
      </c>
      <c r="H11" s="189" t="s">
        <v>415</v>
      </c>
    </row>
    <row r="12" spans="2:20" ht="17" x14ac:dyDescent="0.2">
      <c r="B12" s="166">
        <v>9</v>
      </c>
      <c r="C12" s="205">
        <f t="shared" ca="1" si="0"/>
        <v>0.52647561593211889</v>
      </c>
      <c r="D12" s="167">
        <f t="shared" ca="1" si="1"/>
        <v>-2.4403624611669068</v>
      </c>
      <c r="E12" s="167">
        <f t="shared" ca="1" si="2"/>
        <v>0.52647561593211911</v>
      </c>
      <c r="F12" s="209">
        <f>'1.RETURNS'!D12</f>
        <v>8.8748844487809755E-3</v>
      </c>
      <c r="G12" s="207">
        <f t="shared" si="3"/>
        <v>104.82822222222222</v>
      </c>
      <c r="H12" s="189" t="s">
        <v>416</v>
      </c>
      <c r="T12" s="208" t="s">
        <v>417</v>
      </c>
    </row>
    <row r="13" spans="2:20" x14ac:dyDescent="0.2">
      <c r="B13" s="161">
        <v>10</v>
      </c>
      <c r="C13" s="205">
        <f t="shared" ca="1" si="0"/>
        <v>0.38866945351322602</v>
      </c>
      <c r="D13" s="162">
        <f t="shared" ca="1" si="1"/>
        <v>-2.0516930076536806</v>
      </c>
      <c r="E13" s="162">
        <f t="shared" ca="1" si="2"/>
        <v>0.38866945351322624</v>
      </c>
      <c r="F13" s="209">
        <f>'1.RETURNS'!D13</f>
        <v>-4.8215906453202137E-3</v>
      </c>
      <c r="G13" s="207">
        <f t="shared" si="3"/>
        <v>104.32399999999998</v>
      </c>
      <c r="H13" s="189"/>
    </row>
    <row r="14" spans="2:20" ht="17" x14ac:dyDescent="0.2">
      <c r="B14" s="166">
        <v>11</v>
      </c>
      <c r="C14" s="205">
        <f t="shared" ca="1" si="0"/>
        <v>0.4494821351101983</v>
      </c>
      <c r="D14" s="167">
        <f t="shared" ca="1" si="1"/>
        <v>-1.6022108725434823</v>
      </c>
      <c r="E14" s="167">
        <f t="shared" ca="1" si="2"/>
        <v>0.4494821351101983</v>
      </c>
      <c r="F14" s="209">
        <f>'1.RETURNS'!D14</f>
        <v>5.5124296395039872E-3</v>
      </c>
      <c r="G14" s="207">
        <f t="shared" si="3"/>
        <v>104.90066666666664</v>
      </c>
      <c r="H14" s="188" t="s">
        <v>418</v>
      </c>
    </row>
    <row r="15" spans="2:20" x14ac:dyDescent="0.2">
      <c r="B15" s="161">
        <v>12</v>
      </c>
      <c r="C15" s="205">
        <f t="shared" ca="1" si="0"/>
        <v>3.2237577713231413</v>
      </c>
      <c r="D15" s="162">
        <f t="shared" ca="1" si="1"/>
        <v>1.6215468987796591</v>
      </c>
      <c r="E15" s="162">
        <f t="shared" ca="1" si="2"/>
        <v>3.2237577713231413</v>
      </c>
      <c r="F15" s="209">
        <f>'1.RETURNS'!D15</f>
        <v>-4.2904899245061814E-3</v>
      </c>
      <c r="G15" s="207">
        <f t="shared" si="3"/>
        <v>104.45155555555553</v>
      </c>
      <c r="H15" s="189"/>
    </row>
    <row r="16" spans="2:20" ht="24" customHeight="1" x14ac:dyDescent="0.2">
      <c r="B16" s="166">
        <v>13</v>
      </c>
      <c r="C16" s="205">
        <f t="shared" ca="1" si="0"/>
        <v>-0.40261466509236155</v>
      </c>
      <c r="D16" s="167">
        <f t="shared" ca="1" si="1"/>
        <v>1.2189322336872976</v>
      </c>
      <c r="E16" s="167">
        <f t="shared" ca="1" si="2"/>
        <v>-0.40261466509236143</v>
      </c>
      <c r="F16" s="209">
        <f>'1.RETURNS'!D16</f>
        <v>-4.2128306139583025E-3</v>
      </c>
      <c r="G16" s="207">
        <f t="shared" si="3"/>
        <v>104.01244444444444</v>
      </c>
      <c r="H16" s="189" t="s">
        <v>419</v>
      </c>
      <c r="T16" s="210" t="s">
        <v>420</v>
      </c>
    </row>
    <row r="17" spans="2:23" ht="34" x14ac:dyDescent="0.2">
      <c r="B17" s="161">
        <v>14</v>
      </c>
      <c r="C17" s="205">
        <f t="shared" ca="1" si="0"/>
        <v>1.5137007227657751</v>
      </c>
      <c r="D17" s="162">
        <f t="shared" ca="1" si="1"/>
        <v>2.7326329564530729</v>
      </c>
      <c r="E17" s="162">
        <f t="shared" ca="1" si="2"/>
        <v>1.5137007227657753</v>
      </c>
      <c r="F17" s="209">
        <f>'1.RETURNS'!D17</f>
        <v>2.5967417712656309E-3</v>
      </c>
      <c r="G17" s="207">
        <f t="shared" si="3"/>
        <v>104.28288888888888</v>
      </c>
      <c r="H17" s="189" t="s">
        <v>421</v>
      </c>
    </row>
    <row r="18" spans="2:23" ht="34" x14ac:dyDescent="0.2">
      <c r="B18" s="166">
        <v>15</v>
      </c>
      <c r="C18" s="205">
        <f t="shared" ca="1" si="0"/>
        <v>0.10159186918317552</v>
      </c>
      <c r="D18" s="167">
        <f t="shared" ca="1" si="1"/>
        <v>2.8342248256362486</v>
      </c>
      <c r="E18" s="167">
        <f t="shared" ca="1" si="2"/>
        <v>0.10159186918317564</v>
      </c>
      <c r="F18" s="209">
        <f>'1.RETURNS'!D18</f>
        <v>-1.9171552133154184E-2</v>
      </c>
      <c r="G18" s="207">
        <f t="shared" si="3"/>
        <v>102.30266666666665</v>
      </c>
      <c r="H18" s="189" t="s">
        <v>422</v>
      </c>
      <c r="T18" s="210" t="s">
        <v>423</v>
      </c>
      <c r="U18" s="210" t="s">
        <v>424</v>
      </c>
      <c r="V18" s="210" t="s">
        <v>425</v>
      </c>
      <c r="W18" s="210" t="s">
        <v>426</v>
      </c>
    </row>
    <row r="19" spans="2:23" ht="17" x14ac:dyDescent="0.2">
      <c r="B19" s="161">
        <v>16</v>
      </c>
      <c r="C19" s="205">
        <f t="shared" ca="1" si="0"/>
        <v>1.0141607340266088</v>
      </c>
      <c r="D19" s="162">
        <f t="shared" ca="1" si="1"/>
        <v>3.8483855596628573</v>
      </c>
      <c r="E19" s="162">
        <f t="shared" ca="1" si="2"/>
        <v>1.0141607340266088</v>
      </c>
      <c r="F19" s="209">
        <f>'1.RETURNS'!D19</f>
        <v>-2.0470411829203214E-2</v>
      </c>
      <c r="G19" s="207">
        <f t="shared" si="3"/>
        <v>100.22977777777777</v>
      </c>
      <c r="H19" s="189" t="s">
        <v>427</v>
      </c>
      <c r="T19" s="210" t="s">
        <v>428</v>
      </c>
      <c r="U19" s="208" t="s">
        <v>429</v>
      </c>
      <c r="V19" s="208" t="s">
        <v>430</v>
      </c>
      <c r="W19" s="208" t="s">
        <v>431</v>
      </c>
    </row>
    <row r="20" spans="2:23" x14ac:dyDescent="0.2">
      <c r="B20" s="166">
        <v>17</v>
      </c>
      <c r="C20" s="205">
        <f t="shared" ca="1" si="0"/>
        <v>-0.35889533592163914</v>
      </c>
      <c r="D20" s="167">
        <f t="shared" ca="1" si="1"/>
        <v>3.4894902237412184</v>
      </c>
      <c r="E20" s="167">
        <f t="shared" ca="1" si="2"/>
        <v>-0.35889533592163891</v>
      </c>
      <c r="F20" s="209">
        <f>'1.RETURNS'!D20</f>
        <v>-6.4772079169447584E-3</v>
      </c>
      <c r="G20" s="207">
        <f t="shared" si="3"/>
        <v>99.582666666666654</v>
      </c>
      <c r="H20" s="189"/>
      <c r="T20" s="210" t="s">
        <v>432</v>
      </c>
      <c r="U20" s="208" t="s">
        <v>433</v>
      </c>
      <c r="V20" s="208" t="s">
        <v>434</v>
      </c>
      <c r="W20" s="208" t="s">
        <v>435</v>
      </c>
    </row>
    <row r="21" spans="2:23" ht="28" customHeight="1" x14ac:dyDescent="0.2">
      <c r="B21" s="161">
        <v>18</v>
      </c>
      <c r="C21" s="205">
        <f t="shared" ca="1" si="0"/>
        <v>-1.324729324547482</v>
      </c>
      <c r="D21" s="162">
        <f t="shared" ca="1" si="1"/>
        <v>2.1647608991937366</v>
      </c>
      <c r="E21" s="162">
        <f t="shared" ca="1" si="2"/>
        <v>-1.3247293245474818</v>
      </c>
      <c r="F21" s="209">
        <f>'1.RETURNS'!D21</f>
        <v>-9.7974154406534671E-3</v>
      </c>
      <c r="G21" s="207">
        <f t="shared" si="3"/>
        <v>98.61177777777776</v>
      </c>
      <c r="H21" s="188" t="s">
        <v>436</v>
      </c>
      <c r="T21" s="210" t="s">
        <v>437</v>
      </c>
      <c r="U21" s="208" t="s">
        <v>405</v>
      </c>
      <c r="V21" s="208" t="s">
        <v>430</v>
      </c>
      <c r="W21" s="208" t="s">
        <v>438</v>
      </c>
    </row>
    <row r="22" spans="2:23" x14ac:dyDescent="0.2">
      <c r="B22" s="166">
        <v>19</v>
      </c>
      <c r="C22" s="205">
        <f t="shared" ca="1" si="0"/>
        <v>0.10131074518863357</v>
      </c>
      <c r="D22" s="167">
        <f t="shared" ca="1" si="1"/>
        <v>2.2660716443823703</v>
      </c>
      <c r="E22" s="167">
        <f t="shared" ca="1" si="2"/>
        <v>0.1013107451886337</v>
      </c>
      <c r="F22" s="209">
        <f>'1.RETURNS'!D22</f>
        <v>3.6193332840726675E-3</v>
      </c>
      <c r="G22" s="207">
        <f t="shared" si="3"/>
        <v>98.969333333333324</v>
      </c>
      <c r="H22" s="189"/>
      <c r="T22" s="210" t="s">
        <v>439</v>
      </c>
      <c r="U22" s="208" t="s">
        <v>440</v>
      </c>
      <c r="V22" s="208" t="s">
        <v>430</v>
      </c>
      <c r="W22" s="208" t="s">
        <v>441</v>
      </c>
    </row>
    <row r="23" spans="2:23" ht="17" x14ac:dyDescent="0.2">
      <c r="B23" s="161">
        <v>20</v>
      </c>
      <c r="C23" s="205">
        <f t="shared" ca="1" si="0"/>
        <v>1.4929794081587879</v>
      </c>
      <c r="D23" s="162">
        <f t="shared" ca="1" si="1"/>
        <v>3.7590510525411585</v>
      </c>
      <c r="E23" s="162">
        <f t="shared" ca="1" si="2"/>
        <v>1.4929794081587882</v>
      </c>
      <c r="F23" s="209">
        <f>'1.RETURNS'!D23</f>
        <v>-8.7524506038356795E-3</v>
      </c>
      <c r="G23" s="207">
        <f t="shared" si="3"/>
        <v>98.106888888888889</v>
      </c>
      <c r="H23" s="190" t="s">
        <v>442</v>
      </c>
      <c r="T23" s="210" t="s">
        <v>443</v>
      </c>
      <c r="U23" s="208" t="s">
        <v>444</v>
      </c>
      <c r="V23" s="208" t="s">
        <v>434</v>
      </c>
      <c r="W23" s="208" t="s">
        <v>445</v>
      </c>
    </row>
    <row r="24" spans="2:23" x14ac:dyDescent="0.2">
      <c r="B24" s="166">
        <v>21</v>
      </c>
      <c r="C24" s="205">
        <f t="shared" ca="1" si="0"/>
        <v>0.94881533896774195</v>
      </c>
      <c r="D24" s="167">
        <f t="shared" ca="1" si="1"/>
        <v>4.7078663915089001</v>
      </c>
      <c r="E24" s="167">
        <f t="shared" ca="1" si="2"/>
        <v>0.94881533896774162</v>
      </c>
      <c r="F24" s="209">
        <f>'1.RETURNS'!D24</f>
        <v>-1.4251166520256224E-2</v>
      </c>
      <c r="G24" s="207">
        <f t="shared" si="3"/>
        <v>96.718666666666664</v>
      </c>
      <c r="H24" s="189"/>
    </row>
    <row r="25" spans="2:23" ht="28" customHeight="1" x14ac:dyDescent="0.2">
      <c r="B25" s="161">
        <v>22</v>
      </c>
      <c r="C25" s="205">
        <f t="shared" ca="1" si="0"/>
        <v>-1.7144440771600833</v>
      </c>
      <c r="D25" s="162">
        <f t="shared" ca="1" si="1"/>
        <v>2.993422314348817</v>
      </c>
      <c r="E25" s="162">
        <f t="shared" ca="1" si="2"/>
        <v>-1.7144440771600831</v>
      </c>
      <c r="F25" s="209">
        <f>'1.RETURNS'!D25</f>
        <v>1.6633480164295882E-2</v>
      </c>
      <c r="G25" s="207">
        <f t="shared" si="3"/>
        <v>98.340888888888884</v>
      </c>
      <c r="H25" s="189" t="s">
        <v>446</v>
      </c>
    </row>
    <row r="26" spans="2:23" ht="24" customHeight="1" x14ac:dyDescent="0.2">
      <c r="B26" s="166">
        <v>23</v>
      </c>
      <c r="C26" s="205">
        <f t="shared" ca="1" si="0"/>
        <v>-0.34760169162828142</v>
      </c>
      <c r="D26" s="167">
        <f t="shared" ca="1" si="1"/>
        <v>2.6458206227205356</v>
      </c>
      <c r="E26" s="167">
        <f t="shared" ca="1" si="2"/>
        <v>-0.34760169162828136</v>
      </c>
      <c r="F26" s="209">
        <f>'1.RETURNS'!D26</f>
        <v>-2.3279526462302333E-3</v>
      </c>
      <c r="G26" s="207">
        <f t="shared" si="3"/>
        <v>98.112222222222215</v>
      </c>
      <c r="H26" s="189" t="s">
        <v>447</v>
      </c>
      <c r="T26" s="210" t="s">
        <v>448</v>
      </c>
    </row>
    <row r="27" spans="2:23" ht="28" customHeight="1" x14ac:dyDescent="0.2">
      <c r="B27" s="161">
        <v>24</v>
      </c>
      <c r="C27" s="205">
        <f t="shared" ca="1" si="0"/>
        <v>0.55172045436678208</v>
      </c>
      <c r="D27" s="162">
        <f t="shared" ca="1" si="1"/>
        <v>3.1975410770873176</v>
      </c>
      <c r="E27" s="162">
        <f t="shared" ca="1" si="2"/>
        <v>0.55172045436678196</v>
      </c>
      <c r="F27" s="209">
        <f>'1.RETURNS'!D27</f>
        <v>9.3726235716231547E-4</v>
      </c>
      <c r="G27" s="207">
        <f t="shared" si="3"/>
        <v>98.204222222222214</v>
      </c>
      <c r="H27" s="189" t="s">
        <v>449</v>
      </c>
    </row>
    <row r="28" spans="2:23" ht="17" x14ac:dyDescent="0.2">
      <c r="B28" s="166">
        <v>25</v>
      </c>
      <c r="C28" s="205">
        <f t="shared" ca="1" si="0"/>
        <v>-0.3020953876133618</v>
      </c>
      <c r="D28" s="167">
        <f t="shared" ca="1" si="1"/>
        <v>2.8954456894739558</v>
      </c>
      <c r="E28" s="167">
        <f t="shared" ca="1" si="2"/>
        <v>-0.30209538761336185</v>
      </c>
      <c r="F28" s="209">
        <f>'1.RETURNS'!D28</f>
        <v>-1.3635751621641814E-2</v>
      </c>
      <c r="G28" s="207">
        <f t="shared" si="3"/>
        <v>96.87422222222223</v>
      </c>
      <c r="H28" s="189" t="s">
        <v>450</v>
      </c>
      <c r="T28" s="210" t="s">
        <v>451</v>
      </c>
    </row>
    <row r="29" spans="2:23" x14ac:dyDescent="0.2">
      <c r="B29" s="161">
        <v>26</v>
      </c>
      <c r="C29" s="205">
        <f t="shared" ca="1" si="0"/>
        <v>-7.1663492650824098E-2</v>
      </c>
      <c r="D29" s="162">
        <f t="shared" ca="1" si="1"/>
        <v>2.8237821968231316</v>
      </c>
      <c r="E29" s="162">
        <f t="shared" ca="1" si="2"/>
        <v>-7.1663492650824168E-2</v>
      </c>
      <c r="F29" s="209">
        <f>'1.RETURNS'!D29</f>
        <v>-5.5921391318446883E-3</v>
      </c>
      <c r="G29" s="207">
        <f t="shared" si="3"/>
        <v>96.333999999999989</v>
      </c>
      <c r="H29" s="189"/>
    </row>
    <row r="30" spans="2:23" ht="17" x14ac:dyDescent="0.2">
      <c r="B30" s="166">
        <v>27</v>
      </c>
      <c r="C30" s="205">
        <f t="shared" ca="1" si="0"/>
        <v>0.2651313647595116</v>
      </c>
      <c r="D30" s="167">
        <f t="shared" ca="1" si="1"/>
        <v>3.0889135615826433</v>
      </c>
      <c r="E30" s="167">
        <f t="shared" ca="1" si="2"/>
        <v>0.26513136475951171</v>
      </c>
      <c r="F30" s="209">
        <f>'1.RETURNS'!D30</f>
        <v>1.3854201179323263E-3</v>
      </c>
      <c r="G30" s="207">
        <f t="shared" si="3"/>
        <v>96.467555555555563</v>
      </c>
      <c r="H30" s="188" t="s">
        <v>452</v>
      </c>
      <c r="T30" s="210" t="s">
        <v>453</v>
      </c>
    </row>
    <row r="31" spans="2:23" x14ac:dyDescent="0.2">
      <c r="B31" s="161">
        <v>28</v>
      </c>
      <c r="C31" s="205">
        <f t="shared" ca="1" si="0"/>
        <v>1.2584752640425085</v>
      </c>
      <c r="D31" s="162">
        <f t="shared" ca="1" si="1"/>
        <v>4.3473888256251518</v>
      </c>
      <c r="E31" s="162">
        <f t="shared" ca="1" si="2"/>
        <v>1.2584752640425085</v>
      </c>
      <c r="F31" s="209">
        <f>'1.RETURNS'!D31</f>
        <v>-1.1016357826425731E-2</v>
      </c>
      <c r="G31" s="207">
        <f t="shared" si="3"/>
        <v>95.410666666666671</v>
      </c>
      <c r="H31" s="189"/>
    </row>
    <row r="32" spans="2:23" ht="16" customHeight="1" x14ac:dyDescent="0.2">
      <c r="B32" s="166">
        <v>29</v>
      </c>
      <c r="C32" s="205">
        <f t="shared" ca="1" si="0"/>
        <v>-1.1470603936997104</v>
      </c>
      <c r="D32" s="167">
        <f t="shared" ca="1" si="1"/>
        <v>3.2003284319254415</v>
      </c>
      <c r="E32" s="167">
        <f t="shared" ca="1" si="2"/>
        <v>-1.1470603936997104</v>
      </c>
      <c r="F32" s="209">
        <f>'1.RETURNS'!D32</f>
        <v>4.3343886599564773E-3</v>
      </c>
      <c r="G32" s="207">
        <f t="shared" si="3"/>
        <v>95.825111111111127</v>
      </c>
      <c r="H32" s="189" t="s">
        <v>454</v>
      </c>
      <c r="T32" s="210" t="s">
        <v>455</v>
      </c>
    </row>
    <row r="33" spans="2:20" ht="34" x14ac:dyDescent="0.2">
      <c r="B33" s="161">
        <v>30</v>
      </c>
      <c r="C33" s="205">
        <f t="shared" ca="1" si="0"/>
        <v>0.54228607790956029</v>
      </c>
      <c r="D33" s="162">
        <f t="shared" ca="1" si="1"/>
        <v>3.7426145098350019</v>
      </c>
      <c r="E33" s="162">
        <f t="shared" ca="1" si="2"/>
        <v>0.5422860779095604</v>
      </c>
      <c r="F33" s="209">
        <f>'1.RETURNS'!D33</f>
        <v>-5.9637653469286865E-3</v>
      </c>
      <c r="G33" s="207">
        <f t="shared" si="3"/>
        <v>95.25533333333334</v>
      </c>
      <c r="H33" s="189" t="s">
        <v>456</v>
      </c>
    </row>
    <row r="34" spans="2:20" ht="17" x14ac:dyDescent="0.2">
      <c r="B34" s="166">
        <v>31</v>
      </c>
      <c r="C34" s="205">
        <f t="shared" ca="1" si="0"/>
        <v>-1.3510658155586859E-2</v>
      </c>
      <c r="D34" s="167">
        <f t="shared" ca="1" si="1"/>
        <v>3.7291038516794148</v>
      </c>
      <c r="E34" s="167">
        <f t="shared" ca="1" si="2"/>
        <v>-1.3510658155587052E-2</v>
      </c>
      <c r="F34" s="209">
        <f>'1.RETURNS'!D34</f>
        <v>-2.7659885362656092E-3</v>
      </c>
      <c r="G34" s="207">
        <f t="shared" si="3"/>
        <v>94.992222222222225</v>
      </c>
      <c r="H34" s="189" t="s">
        <v>457</v>
      </c>
    </row>
    <row r="35" spans="2:20" ht="17" x14ac:dyDescent="0.2">
      <c r="B35" s="161">
        <v>32</v>
      </c>
      <c r="C35" s="205">
        <f t="shared" ca="1" si="0"/>
        <v>-0.65176059443205858</v>
      </c>
      <c r="D35" s="162">
        <f t="shared" ca="1" si="1"/>
        <v>3.0773432572473562</v>
      </c>
      <c r="E35" s="162">
        <f t="shared" ca="1" si="2"/>
        <v>-0.65176059443205858</v>
      </c>
      <c r="F35" s="209">
        <f>'1.RETURNS'!D35</f>
        <v>-5.4750569563483563E-3</v>
      </c>
      <c r="G35" s="207">
        <f t="shared" si="3"/>
        <v>94.473555555555578</v>
      </c>
      <c r="H35" s="190" t="s">
        <v>458</v>
      </c>
    </row>
    <row r="36" spans="2:20" ht="24" customHeight="1" x14ac:dyDescent="0.2">
      <c r="B36" s="166">
        <v>33</v>
      </c>
      <c r="C36" s="205">
        <f t="shared" ref="C36:C63" ca="1" si="4">_xlfn.NORM.S.INV(RAND())</f>
        <v>1.5005490090542122</v>
      </c>
      <c r="D36" s="167">
        <f t="shared" ca="1" si="1"/>
        <v>4.5778922663015686</v>
      </c>
      <c r="E36" s="167">
        <f t="shared" ca="1" si="2"/>
        <v>1.5005490090542124</v>
      </c>
      <c r="F36" s="209">
        <f>'1.RETURNS'!D36</f>
        <v>1.8407343631838935E-2</v>
      </c>
      <c r="G36" s="207">
        <f t="shared" si="3"/>
        <v>96.228666666666683</v>
      </c>
      <c r="H36" s="189"/>
      <c r="T36" s="210" t="s">
        <v>459</v>
      </c>
    </row>
    <row r="37" spans="2:20" ht="17" x14ac:dyDescent="0.2">
      <c r="B37" s="161">
        <v>34</v>
      </c>
      <c r="C37" s="205">
        <f t="shared" ca="1" si="4"/>
        <v>-0.21145343404747105</v>
      </c>
      <c r="D37" s="162">
        <f t="shared" ref="D37:D63" ca="1" si="5">D36+C37</f>
        <v>4.3664388322540972</v>
      </c>
      <c r="E37" s="162">
        <f t="shared" ref="E37:E63" ca="1" si="6">D37-D36</f>
        <v>-0.21145343404747141</v>
      </c>
      <c r="F37" s="209">
        <f>'1.RETURNS'!D37</f>
        <v>8.7750087806441539E-5</v>
      </c>
      <c r="G37" s="207">
        <f t="shared" ref="G37:G63" si="7">G36*EXP(F37)</f>
        <v>96.237111111111133</v>
      </c>
      <c r="H37" s="188" t="s">
        <v>460</v>
      </c>
    </row>
    <row r="38" spans="2:20" ht="28" customHeight="1" x14ac:dyDescent="0.2">
      <c r="B38" s="166">
        <v>35</v>
      </c>
      <c r="C38" s="205">
        <f t="shared" ca="1" si="4"/>
        <v>0.32506590719517142</v>
      </c>
      <c r="D38" s="167">
        <f t="shared" ca="1" si="5"/>
        <v>4.691504739449269</v>
      </c>
      <c r="E38" s="167">
        <f t="shared" ca="1" si="6"/>
        <v>0.32506590719517181</v>
      </c>
      <c r="F38" s="209">
        <f>'1.RETURNS'!D38</f>
        <v>-9.3562805766086825E-3</v>
      </c>
      <c r="G38" s="207">
        <f t="shared" si="7"/>
        <v>95.340888888888912</v>
      </c>
      <c r="H38" s="189" t="s">
        <v>461</v>
      </c>
      <c r="T38" s="210" t="s">
        <v>462</v>
      </c>
    </row>
    <row r="39" spans="2:20" ht="28" customHeight="1" x14ac:dyDescent="0.2">
      <c r="B39" s="161">
        <v>36</v>
      </c>
      <c r="C39" s="205">
        <f t="shared" ca="1" si="4"/>
        <v>-0.32629491370757735</v>
      </c>
      <c r="D39" s="162">
        <f t="shared" ca="1" si="5"/>
        <v>4.365209825741692</v>
      </c>
      <c r="E39" s="162">
        <f t="shared" ca="1" si="6"/>
        <v>-0.32629491370757702</v>
      </c>
      <c r="F39" s="209">
        <f>'1.RETURNS'!D39</f>
        <v>9.0814585452372431E-3</v>
      </c>
      <c r="G39" s="207">
        <f t="shared" si="7"/>
        <v>96.210666666666668</v>
      </c>
      <c r="H39" s="189" t="s">
        <v>463</v>
      </c>
    </row>
    <row r="40" spans="2:20" ht="34" x14ac:dyDescent="0.2">
      <c r="B40" s="166">
        <v>37</v>
      </c>
      <c r="C40" s="205">
        <f t="shared" ca="1" si="4"/>
        <v>1.1571455439776972</v>
      </c>
      <c r="D40" s="167">
        <f t="shared" ca="1" si="5"/>
        <v>5.5223553697193895</v>
      </c>
      <c r="E40" s="167">
        <f t="shared" ca="1" si="6"/>
        <v>1.1571455439776974</v>
      </c>
      <c r="F40" s="209">
        <f>'1.RETURNS'!D40</f>
        <v>-1.3189794377500771E-2</v>
      </c>
      <c r="G40" s="207">
        <f t="shared" si="7"/>
        <v>94.950000000000017</v>
      </c>
      <c r="H40" s="189" t="s">
        <v>464</v>
      </c>
      <c r="T40" s="208" t="s">
        <v>465</v>
      </c>
    </row>
    <row r="41" spans="2:20" ht="34" x14ac:dyDescent="0.2">
      <c r="B41" s="161">
        <v>38</v>
      </c>
      <c r="C41" s="205">
        <f t="shared" ca="1" si="4"/>
        <v>-0.53375214677867777</v>
      </c>
      <c r="D41" s="162">
        <f t="shared" ca="1" si="5"/>
        <v>4.9886032229407116</v>
      </c>
      <c r="E41" s="162">
        <f t="shared" ca="1" si="6"/>
        <v>-0.53375214677867788</v>
      </c>
      <c r="F41" s="209">
        <f>'1.RETURNS'!D41</f>
        <v>2.5898212119692798E-3</v>
      </c>
      <c r="G41" s="207">
        <f t="shared" si="7"/>
        <v>95.196222222222232</v>
      </c>
      <c r="H41" s="189" t="s">
        <v>466</v>
      </c>
    </row>
    <row r="42" spans="2:20" x14ac:dyDescent="0.2">
      <c r="B42" s="166">
        <v>39</v>
      </c>
      <c r="C42" s="205">
        <f t="shared" ca="1" si="4"/>
        <v>-5.0942812414210961E-2</v>
      </c>
      <c r="D42" s="167">
        <f t="shared" ca="1" si="5"/>
        <v>4.937660410526501</v>
      </c>
      <c r="E42" s="167">
        <f t="shared" ca="1" si="6"/>
        <v>-5.0942812414210614E-2</v>
      </c>
      <c r="F42" s="209">
        <f>'1.RETURNS'!D42</f>
        <v>-1.8806258881128822E-2</v>
      </c>
      <c r="G42" s="207">
        <f t="shared" si="7"/>
        <v>93.422666666666686</v>
      </c>
      <c r="H42" s="189"/>
    </row>
    <row r="43" spans="2:20" ht="14" customHeight="1" x14ac:dyDescent="0.2">
      <c r="B43" s="161">
        <v>40</v>
      </c>
      <c r="C43" s="205">
        <f t="shared" ca="1" si="4"/>
        <v>0.17960900888324285</v>
      </c>
      <c r="D43" s="162">
        <f t="shared" ca="1" si="5"/>
        <v>5.1172694194097437</v>
      </c>
      <c r="E43" s="162">
        <f t="shared" ca="1" si="6"/>
        <v>0.17960900888324272</v>
      </c>
      <c r="F43" s="209">
        <f>'1.RETURNS'!D43</f>
        <v>-1.5574917471076215E-2</v>
      </c>
      <c r="G43" s="207">
        <f t="shared" si="7"/>
        <v>91.978888888888903</v>
      </c>
      <c r="H43" s="189" t="s">
        <v>467</v>
      </c>
    </row>
    <row r="44" spans="2:20" ht="17" x14ac:dyDescent="0.2">
      <c r="B44" s="166">
        <v>41</v>
      </c>
      <c r="C44" s="205">
        <f t="shared" ca="1" si="4"/>
        <v>0.27876826124969289</v>
      </c>
      <c r="D44" s="167">
        <f t="shared" ca="1" si="5"/>
        <v>5.3960376806594361</v>
      </c>
      <c r="E44" s="167">
        <f t="shared" ca="1" si="6"/>
        <v>0.27876826124969245</v>
      </c>
      <c r="F44" s="209">
        <f>'1.RETURNS'!D44</f>
        <v>2.4878125762513E-3</v>
      </c>
      <c r="G44" s="207">
        <f t="shared" si="7"/>
        <v>92.208000000000013</v>
      </c>
      <c r="H44" s="189" t="s">
        <v>468</v>
      </c>
    </row>
    <row r="45" spans="2:20" ht="17" x14ac:dyDescent="0.2">
      <c r="B45" s="161">
        <v>42</v>
      </c>
      <c r="C45" s="205">
        <f t="shared" ca="1" si="4"/>
        <v>-0.51416893390232909</v>
      </c>
      <c r="D45" s="162">
        <f t="shared" ca="1" si="5"/>
        <v>4.8818687467571067</v>
      </c>
      <c r="E45" s="162">
        <f t="shared" ca="1" si="6"/>
        <v>-0.51416893390232943</v>
      </c>
      <c r="F45" s="209">
        <f>'1.RETURNS'!D45</f>
        <v>7.5532940637161585E-3</v>
      </c>
      <c r="G45" s="207">
        <f t="shared" si="7"/>
        <v>92.907111111111135</v>
      </c>
      <c r="H45" s="189" t="s">
        <v>469</v>
      </c>
    </row>
    <row r="46" spans="2:20" x14ac:dyDescent="0.2">
      <c r="B46" s="166">
        <v>43</v>
      </c>
      <c r="C46" s="205">
        <f t="shared" ca="1" si="4"/>
        <v>-1.149057479087326</v>
      </c>
      <c r="D46" s="167">
        <f t="shared" ca="1" si="5"/>
        <v>3.7328112676697804</v>
      </c>
      <c r="E46" s="167">
        <f t="shared" ca="1" si="6"/>
        <v>-1.1490574790873263</v>
      </c>
      <c r="F46" s="209">
        <f>'1.RETURNS'!D46</f>
        <v>2.1145723363076522E-3</v>
      </c>
      <c r="G46" s="207">
        <f t="shared" si="7"/>
        <v>93.103777777777822</v>
      </c>
    </row>
    <row r="47" spans="2:20" ht="17" x14ac:dyDescent="0.2">
      <c r="B47" s="161">
        <v>44</v>
      </c>
      <c r="C47" s="205">
        <f t="shared" ca="1" si="4"/>
        <v>0.48423620219284585</v>
      </c>
      <c r="D47" s="162">
        <f t="shared" ca="1" si="5"/>
        <v>4.2170474698626261</v>
      </c>
      <c r="E47" s="162">
        <f t="shared" ca="1" si="6"/>
        <v>0.48423620219284569</v>
      </c>
      <c r="F47" s="209">
        <f>'1.RETURNS'!D47</f>
        <v>-8.4768128441018993E-4</v>
      </c>
      <c r="G47" s="207">
        <f t="shared" si="7"/>
        <v>93.024888888888938</v>
      </c>
      <c r="H47" s="211" t="s">
        <v>470</v>
      </c>
    </row>
    <row r="48" spans="2:20" ht="17" x14ac:dyDescent="0.2">
      <c r="B48" s="166">
        <v>45</v>
      </c>
      <c r="C48" s="205">
        <f t="shared" ca="1" si="4"/>
        <v>-2.4972953868848733</v>
      </c>
      <c r="D48" s="167">
        <f t="shared" ca="1" si="5"/>
        <v>1.7197520829777528</v>
      </c>
      <c r="E48" s="167">
        <f t="shared" ca="1" si="6"/>
        <v>-2.4972953868848733</v>
      </c>
      <c r="F48" s="209">
        <f>'1.RETURNS'!D48</f>
        <v>-2.7581407103905642E-3</v>
      </c>
      <c r="G48" s="207">
        <f t="shared" si="7"/>
        <v>92.768666666666718</v>
      </c>
      <c r="H48" s="212" t="s">
        <v>471</v>
      </c>
    </row>
    <row r="49" spans="2:8" ht="17" x14ac:dyDescent="0.2">
      <c r="B49" s="161">
        <v>46</v>
      </c>
      <c r="C49" s="205">
        <f t="shared" ca="1" si="4"/>
        <v>0.68013959061165585</v>
      </c>
      <c r="D49" s="162">
        <f t="shared" ca="1" si="5"/>
        <v>2.3998916735894085</v>
      </c>
      <c r="E49" s="162">
        <f t="shared" ca="1" si="6"/>
        <v>0.68013959061165563</v>
      </c>
      <c r="F49" s="209">
        <f>'1.RETURNS'!D49</f>
        <v>-1.4851304136611461E-2</v>
      </c>
      <c r="G49" s="207">
        <f t="shared" si="7"/>
        <v>91.401111111111163</v>
      </c>
      <c r="H49" s="212" t="s">
        <v>472</v>
      </c>
    </row>
    <row r="50" spans="2:8" ht="28" customHeight="1" x14ac:dyDescent="0.2">
      <c r="B50" s="166">
        <v>47</v>
      </c>
      <c r="C50" s="205">
        <f t="shared" ca="1" si="4"/>
        <v>2.1198542873438289</v>
      </c>
      <c r="D50" s="167">
        <f t="shared" ca="1" si="5"/>
        <v>4.5197459609332373</v>
      </c>
      <c r="E50" s="167">
        <f t="shared" ca="1" si="6"/>
        <v>2.1198542873438289</v>
      </c>
      <c r="F50" s="209">
        <f>'1.RETURNS'!D50</f>
        <v>-7.683127431506823E-3</v>
      </c>
      <c r="G50" s="207">
        <f t="shared" si="7"/>
        <v>90.701555555555615</v>
      </c>
      <c r="H50" s="212" t="s">
        <v>473</v>
      </c>
    </row>
    <row r="51" spans="2:8" ht="17" x14ac:dyDescent="0.2">
      <c r="B51" s="161">
        <v>48</v>
      </c>
      <c r="C51" s="205">
        <f t="shared" ca="1" si="4"/>
        <v>0.87426591923763364</v>
      </c>
      <c r="D51" s="162">
        <f t="shared" ca="1" si="5"/>
        <v>5.3940118801708712</v>
      </c>
      <c r="E51" s="162">
        <f t="shared" ca="1" si="6"/>
        <v>0.87426591923763386</v>
      </c>
      <c r="F51" s="209">
        <f>'1.RETURNS'!D51</f>
        <v>-4.3656826068705946E-3</v>
      </c>
      <c r="G51" s="207">
        <f t="shared" si="7"/>
        <v>90.306444444444494</v>
      </c>
      <c r="H51" s="212" t="s">
        <v>474</v>
      </c>
    </row>
    <row r="52" spans="2:8" x14ac:dyDescent="0.2">
      <c r="B52" s="166">
        <v>49</v>
      </c>
      <c r="C52" s="205">
        <f t="shared" ca="1" si="4"/>
        <v>1.4225271575819864</v>
      </c>
      <c r="D52" s="167">
        <f t="shared" ca="1" si="5"/>
        <v>6.8165390377528574</v>
      </c>
      <c r="E52" s="167">
        <f t="shared" ca="1" si="6"/>
        <v>1.4225271575819862</v>
      </c>
      <c r="F52" s="209">
        <f>'1.RETURNS'!D52</f>
        <v>1.0511055683539985E-2</v>
      </c>
      <c r="G52" s="207">
        <f t="shared" si="7"/>
        <v>91.260666666666708</v>
      </c>
    </row>
    <row r="53" spans="2:8" x14ac:dyDescent="0.2">
      <c r="B53" s="161">
        <v>50</v>
      </c>
      <c r="C53" s="205">
        <f t="shared" ca="1" si="4"/>
        <v>1.3273627883594419</v>
      </c>
      <c r="D53" s="162">
        <f t="shared" ca="1" si="5"/>
        <v>8.1439018261123</v>
      </c>
      <c r="E53" s="162">
        <f t="shared" ca="1" si="6"/>
        <v>1.3273627883594425</v>
      </c>
      <c r="F53" s="209">
        <f>'1.RETURNS'!D53</f>
        <v>3.8205554190330077E-3</v>
      </c>
      <c r="G53" s="207">
        <f t="shared" si="7"/>
        <v>91.610000000000056</v>
      </c>
    </row>
    <row r="54" spans="2:8" x14ac:dyDescent="0.2">
      <c r="B54" s="166">
        <v>51</v>
      </c>
      <c r="C54" s="205">
        <f t="shared" ca="1" si="4"/>
        <v>-0.48857717756511654</v>
      </c>
      <c r="D54" s="167">
        <f t="shared" ca="1" si="5"/>
        <v>7.6553246485471833</v>
      </c>
      <c r="E54" s="167">
        <f t="shared" ca="1" si="6"/>
        <v>-0.48857717756511665</v>
      </c>
      <c r="F54" s="209">
        <f>'1.RETURNS'!D54</f>
        <v>-1.6681933197953237E-2</v>
      </c>
      <c r="G54" s="207">
        <f t="shared" si="7"/>
        <v>90.094444444444505</v>
      </c>
    </row>
    <row r="55" spans="2:8" x14ac:dyDescent="0.2">
      <c r="B55" s="161">
        <v>52</v>
      </c>
      <c r="C55" s="205">
        <f t="shared" ca="1" si="4"/>
        <v>-1.0582207225871936</v>
      </c>
      <c r="D55" s="162">
        <f t="shared" ca="1" si="5"/>
        <v>6.5971039259599902</v>
      </c>
      <c r="E55" s="162">
        <f t="shared" ca="1" si="6"/>
        <v>-1.0582207225871931</v>
      </c>
      <c r="F55" s="209">
        <f>'1.RETURNS'!D55</f>
        <v>4.0394348524568028E-3</v>
      </c>
      <c r="G55" s="207">
        <f t="shared" si="7"/>
        <v>90.459111111111156</v>
      </c>
    </row>
    <row r="56" spans="2:8" x14ac:dyDescent="0.2">
      <c r="B56" s="166">
        <v>53</v>
      </c>
      <c r="C56" s="205">
        <f t="shared" ca="1" si="4"/>
        <v>-0.83889208672490401</v>
      </c>
      <c r="D56" s="167">
        <f t="shared" ca="1" si="5"/>
        <v>5.7582118392350861</v>
      </c>
      <c r="E56" s="167">
        <f t="shared" ca="1" si="6"/>
        <v>-0.83889208672490412</v>
      </c>
      <c r="F56" s="209">
        <f>'1.RETURNS'!D56</f>
        <v>-3.4328481905995306E-3</v>
      </c>
      <c r="G56" s="207">
        <f t="shared" si="7"/>
        <v>90.149111111111154</v>
      </c>
    </row>
    <row r="57" spans="2:8" x14ac:dyDescent="0.2">
      <c r="B57" s="161">
        <v>54</v>
      </c>
      <c r="C57" s="205">
        <f t="shared" ca="1" si="4"/>
        <v>-0.51936510742418884</v>
      </c>
      <c r="D57" s="162">
        <f t="shared" ca="1" si="5"/>
        <v>5.2388467318108969</v>
      </c>
      <c r="E57" s="162">
        <f t="shared" ca="1" si="6"/>
        <v>-0.51936510742418918</v>
      </c>
      <c r="F57" s="209">
        <f>'1.RETURNS'!D57</f>
        <v>-6.3454123510951772E-3</v>
      </c>
      <c r="G57" s="207">
        <f t="shared" si="7"/>
        <v>89.57888888888894</v>
      </c>
    </row>
    <row r="58" spans="2:8" x14ac:dyDescent="0.2">
      <c r="B58" s="166">
        <v>55</v>
      </c>
      <c r="C58" s="205">
        <f t="shared" ca="1" si="4"/>
        <v>1.1781320450461452</v>
      </c>
      <c r="D58" s="167">
        <f t="shared" ca="1" si="5"/>
        <v>6.4169787768570421</v>
      </c>
      <c r="E58" s="167">
        <f t="shared" ca="1" si="6"/>
        <v>1.1781320450461452</v>
      </c>
      <c r="F58" s="209">
        <f>'1.RETURNS'!D58</f>
        <v>6.7446710168615137E-3</v>
      </c>
      <c r="G58" s="207">
        <f t="shared" si="7"/>
        <v>90.185111111111155</v>
      </c>
    </row>
    <row r="59" spans="2:8" x14ac:dyDescent="0.2">
      <c r="B59" s="161">
        <v>56</v>
      </c>
      <c r="C59" s="205">
        <f t="shared" ca="1" si="4"/>
        <v>-2.2120430525670729</v>
      </c>
      <c r="D59" s="162">
        <f t="shared" ca="1" si="5"/>
        <v>4.2049357242899692</v>
      </c>
      <c r="E59" s="162">
        <f t="shared" ca="1" si="6"/>
        <v>-2.2120430525670729</v>
      </c>
      <c r="F59" s="209">
        <f>'1.RETURNS'!D59</f>
        <v>1.0476356326837036E-2</v>
      </c>
      <c r="G59" s="207">
        <f t="shared" si="7"/>
        <v>91.134888888888923</v>
      </c>
    </row>
    <row r="60" spans="2:8" x14ac:dyDescent="0.2">
      <c r="B60" s="166">
        <v>57</v>
      </c>
      <c r="C60" s="205">
        <f t="shared" ca="1" si="4"/>
        <v>-0.24975768828502368</v>
      </c>
      <c r="D60" s="167">
        <f t="shared" ca="1" si="5"/>
        <v>3.9551780360049453</v>
      </c>
      <c r="E60" s="167">
        <f t="shared" ca="1" si="6"/>
        <v>-0.24975768828502387</v>
      </c>
      <c r="F60" s="209">
        <f>'1.RETURNS'!D60</f>
        <v>1.0563192393945127E-2</v>
      </c>
      <c r="G60" s="207">
        <f t="shared" si="7"/>
        <v>92.102666666666707</v>
      </c>
    </row>
    <row r="61" spans="2:8" x14ac:dyDescent="0.2">
      <c r="B61" s="161">
        <v>58</v>
      </c>
      <c r="C61" s="205">
        <f t="shared" ca="1" si="4"/>
        <v>-0.44300513348229931</v>
      </c>
      <c r="D61" s="162">
        <f t="shared" ca="1" si="5"/>
        <v>3.512172902522646</v>
      </c>
      <c r="E61" s="162">
        <f t="shared" ca="1" si="6"/>
        <v>-0.44300513348229931</v>
      </c>
      <c r="F61" s="209">
        <f>'1.RETURNS'!D61</f>
        <v>-8.6289840852801277E-3</v>
      </c>
      <c r="G61" s="207">
        <f t="shared" si="7"/>
        <v>91.31133333333338</v>
      </c>
    </row>
    <row r="62" spans="2:8" x14ac:dyDescent="0.2">
      <c r="B62" s="166">
        <v>59</v>
      </c>
      <c r="C62" s="205">
        <f t="shared" ca="1" si="4"/>
        <v>-0.29043657423877561</v>
      </c>
      <c r="D62" s="167">
        <f t="shared" ca="1" si="5"/>
        <v>3.2217363282838702</v>
      </c>
      <c r="E62" s="167">
        <f t="shared" ca="1" si="6"/>
        <v>-0.29043657423877578</v>
      </c>
      <c r="F62" s="209">
        <f>'1.RETURNS'!D62</f>
        <v>-2.8929542546789915E-3</v>
      </c>
      <c r="G62" s="207">
        <f t="shared" si="7"/>
        <v>91.047555555555604</v>
      </c>
    </row>
    <row r="63" spans="2:8" x14ac:dyDescent="0.2">
      <c r="B63" s="161">
        <v>60</v>
      </c>
      <c r="C63" s="205">
        <f t="shared" ca="1" si="4"/>
        <v>-0.20647504410434772</v>
      </c>
      <c r="D63" s="162">
        <f t="shared" ca="1" si="5"/>
        <v>3.0152612841795223</v>
      </c>
      <c r="E63" s="162">
        <f t="shared" ca="1" si="6"/>
        <v>-0.20647504410434792</v>
      </c>
      <c r="F63" s="209">
        <f>'1.RETURNS'!D63</f>
        <v>3.5960394652092033E-3</v>
      </c>
      <c r="G63" s="207">
        <f t="shared" si="7"/>
        <v>91.375555555555579</v>
      </c>
    </row>
    <row r="64" spans="2:8" x14ac:dyDescent="0.2">
      <c r="C64" s="213"/>
      <c r="D64" s="61"/>
      <c r="E64" s="61"/>
      <c r="F64" s="213"/>
    </row>
    <row r="65" spans="2:8" x14ac:dyDescent="0.2">
      <c r="B65" s="221" t="s">
        <v>475</v>
      </c>
      <c r="C65" s="222"/>
      <c r="D65" s="222"/>
      <c r="E65" s="222"/>
      <c r="F65" s="222"/>
      <c r="G65" s="223"/>
      <c r="H65" s="72" t="s">
        <v>476</v>
      </c>
    </row>
    <row r="66" spans="2:8" x14ac:dyDescent="0.2">
      <c r="B66" s="220" t="s">
        <v>477</v>
      </c>
      <c r="C66" s="220" t="s">
        <v>403</v>
      </c>
      <c r="D66" s="220" t="s">
        <v>433</v>
      </c>
      <c r="E66" s="220" t="s">
        <v>478</v>
      </c>
      <c r="F66" s="220" t="s">
        <v>479</v>
      </c>
      <c r="G66" s="220" t="s">
        <v>480</v>
      </c>
      <c r="H66" s="214" t="s">
        <v>481</v>
      </c>
    </row>
    <row r="67" spans="2:8" x14ac:dyDescent="0.2">
      <c r="B67" s="216" t="s">
        <v>482</v>
      </c>
      <c r="C67" s="217">
        <f ca="1">AVERAGE(C4:C63)</f>
        <v>5.025435473632537E-2</v>
      </c>
      <c r="D67" s="217">
        <f ca="1">AVERAGE(D4:D63)</f>
        <v>2.8870775801958231</v>
      </c>
      <c r="E67" s="217">
        <f ca="1">AVERAGE(E5:E63)</f>
        <v>5.7611868265726889E-2</v>
      </c>
      <c r="F67" s="218">
        <f>AVERAGE(F5:F63)</f>
        <v>-1.5286811522927329E-3</v>
      </c>
      <c r="G67" s="219">
        <f>AVERAGE(G5:G63)</f>
        <v>96.298911487758957</v>
      </c>
      <c r="H67" s="215" t="s">
        <v>483</v>
      </c>
    </row>
    <row r="68" spans="2:8" x14ac:dyDescent="0.2">
      <c r="B68" s="216" t="s">
        <v>484</v>
      </c>
      <c r="C68" s="217">
        <f ca="1">STDEV(C4:C63)</f>
        <v>1.0510146751465397</v>
      </c>
      <c r="D68" s="217">
        <f ca="1">STDEV(D4:D63)</f>
        <v>2.9109881886640294</v>
      </c>
      <c r="E68" s="217">
        <f ca="1">STDEV(E5:E63)</f>
        <v>1.0584768509851437</v>
      </c>
      <c r="F68" s="218">
        <f>STDEV(F5:F63)</f>
        <v>9.3300486929943915E-3</v>
      </c>
      <c r="G68" s="219">
        <f>STDEV(G5:G63)</f>
        <v>4.691880699508034</v>
      </c>
      <c r="H68" s="215" t="s">
        <v>485</v>
      </c>
    </row>
    <row r="69" spans="2:8" x14ac:dyDescent="0.2">
      <c r="H69" s="215" t="s">
        <v>486</v>
      </c>
    </row>
    <row r="70" spans="2:8" x14ac:dyDescent="0.2">
      <c r="H70" s="215" t="s">
        <v>487</v>
      </c>
    </row>
    <row r="71" spans="2:8" x14ac:dyDescent="0.2">
      <c r="H71" s="215" t="s">
        <v>488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77"/>
  <sheetViews>
    <sheetView showGridLines="0" topLeftCell="A64" zoomScale="90" zoomScaleNormal="90" workbookViewId="0">
      <selection activeCell="D11" sqref="D11"/>
    </sheetView>
  </sheetViews>
  <sheetFormatPr baseColWidth="10" defaultColWidth="8.6640625" defaultRowHeight="16" x14ac:dyDescent="0.2"/>
  <cols>
    <col min="1" max="1" width="2" style="61" customWidth="1"/>
    <col min="2" max="2" width="6" style="61" customWidth="1"/>
    <col min="3" max="6" width="15" style="61" customWidth="1"/>
    <col min="7" max="7" width="26.5" style="61" customWidth="1"/>
    <col min="8" max="8" width="52" style="61" customWidth="1"/>
    <col min="9" max="9" width="2" style="61" customWidth="1"/>
    <col min="10" max="16384" width="8.6640625" style="61"/>
  </cols>
  <sheetData>
    <row r="2" spans="1:8" ht="16" customHeight="1" x14ac:dyDescent="0.2">
      <c r="B2" s="60" t="s">
        <v>489</v>
      </c>
      <c r="C2" s="69"/>
      <c r="D2" s="69"/>
      <c r="E2" s="69"/>
      <c r="F2" s="69"/>
      <c r="G2" s="70"/>
    </row>
    <row r="3" spans="1:8" ht="17" x14ac:dyDescent="0.2">
      <c r="A3" s="73"/>
      <c r="B3" s="73" t="s">
        <v>490</v>
      </c>
      <c r="C3" s="73" t="s">
        <v>324</v>
      </c>
      <c r="D3" s="73" t="s">
        <v>325</v>
      </c>
      <c r="E3" s="73" t="s">
        <v>491</v>
      </c>
      <c r="F3" s="73" t="s">
        <v>492</v>
      </c>
    </row>
    <row r="4" spans="1:8" ht="17" x14ac:dyDescent="0.2">
      <c r="B4" s="166">
        <v>1</v>
      </c>
      <c r="C4" s="152">
        <f>'1.RETURNS'!D5*100</f>
        <v>0.58848723437282202</v>
      </c>
      <c r="D4" s="167">
        <f t="shared" ref="D4:D35" si="0">C4^2</f>
        <v>0.34631722501977275</v>
      </c>
      <c r="E4" s="89" t="s">
        <v>36</v>
      </c>
      <c r="F4" s="89" t="s">
        <v>36</v>
      </c>
      <c r="H4" s="188" t="s">
        <v>493</v>
      </c>
    </row>
    <row r="5" spans="1:8" x14ac:dyDescent="0.2">
      <c r="B5" s="161">
        <v>2</v>
      </c>
      <c r="C5" s="160">
        <f>'1.RETURNS'!D6*100</f>
        <v>-0.12113657639155101</v>
      </c>
      <c r="D5" s="162">
        <f t="shared" si="0"/>
        <v>1.4674070139866073E-2</v>
      </c>
      <c r="E5" s="162">
        <f t="shared" ref="E5:E36" si="1">C4</f>
        <v>0.58848723437282202</v>
      </c>
      <c r="F5" s="162">
        <f t="shared" ref="F5:F36" si="2">D4</f>
        <v>0.34631722501977275</v>
      </c>
      <c r="H5" s="189"/>
    </row>
    <row r="6" spans="1:8" ht="28" customHeight="1" x14ac:dyDescent="0.2">
      <c r="B6" s="166">
        <v>3</v>
      </c>
      <c r="C6" s="152">
        <f>'1.RETURNS'!D7*100</f>
        <v>0.66707917430471964</v>
      </c>
      <c r="D6" s="167">
        <f t="shared" si="0"/>
        <v>0.4449946247910665</v>
      </c>
      <c r="E6" s="167">
        <f t="shared" si="1"/>
        <v>-0.12113657639155101</v>
      </c>
      <c r="F6" s="167">
        <f t="shared" si="2"/>
        <v>1.4674070139866073E-2</v>
      </c>
      <c r="H6" s="189" t="s">
        <v>494</v>
      </c>
    </row>
    <row r="7" spans="1:8" ht="17" x14ac:dyDescent="0.2">
      <c r="B7" s="161">
        <v>4</v>
      </c>
      <c r="C7" s="160">
        <f>'1.RETURNS'!D8*100</f>
        <v>1.6065486617628961</v>
      </c>
      <c r="D7" s="162">
        <f t="shared" si="0"/>
        <v>2.5809986026121523</v>
      </c>
      <c r="E7" s="162">
        <f t="shared" si="1"/>
        <v>0.66707917430471964</v>
      </c>
      <c r="F7" s="162">
        <f t="shared" si="2"/>
        <v>0.4449946247910665</v>
      </c>
      <c r="H7" s="189" t="s">
        <v>495</v>
      </c>
    </row>
    <row r="8" spans="1:8" ht="17" x14ac:dyDescent="0.2">
      <c r="B8" s="166">
        <v>5</v>
      </c>
      <c r="C8" s="152">
        <f>'1.RETURNS'!D9*100</f>
        <v>-0.24548761294726756</v>
      </c>
      <c r="D8" s="167">
        <f t="shared" si="0"/>
        <v>6.0264168110547446E-2</v>
      </c>
      <c r="E8" s="167">
        <f t="shared" si="1"/>
        <v>1.6065486617628961</v>
      </c>
      <c r="F8" s="167">
        <f t="shared" si="2"/>
        <v>2.5809986026121523</v>
      </c>
      <c r="H8" s="189" t="s">
        <v>496</v>
      </c>
    </row>
    <row r="9" spans="1:8" x14ac:dyDescent="0.2">
      <c r="B9" s="161">
        <v>6</v>
      </c>
      <c r="C9" s="160">
        <f>'1.RETURNS'!D10*100</f>
        <v>-0.20112502237132546</v>
      </c>
      <c r="D9" s="162">
        <f t="shared" si="0"/>
        <v>4.0451274623866162E-2</v>
      </c>
      <c r="E9" s="162">
        <f t="shared" si="1"/>
        <v>-0.24548761294726756</v>
      </c>
      <c r="F9" s="162">
        <f t="shared" si="2"/>
        <v>6.0264168110547446E-2</v>
      </c>
      <c r="H9" s="189"/>
    </row>
    <row r="10" spans="1:8" ht="17" x14ac:dyDescent="0.2">
      <c r="B10" s="166">
        <v>7</v>
      </c>
      <c r="C10" s="152">
        <f>'1.RETURNS'!D11*100</f>
        <v>1.5334302622674396</v>
      </c>
      <c r="D10" s="167">
        <f t="shared" si="0"/>
        <v>2.3514083692375887</v>
      </c>
      <c r="E10" s="167">
        <f t="shared" si="1"/>
        <v>-0.20112502237132546</v>
      </c>
      <c r="F10" s="167">
        <f t="shared" si="2"/>
        <v>4.0451274623866162E-2</v>
      </c>
      <c r="H10" s="189" t="s">
        <v>497</v>
      </c>
    </row>
    <row r="11" spans="1:8" ht="17" x14ac:dyDescent="0.2">
      <c r="B11" s="161">
        <v>8</v>
      </c>
      <c r="C11" s="160">
        <f>'1.RETURNS'!D12*100</f>
        <v>0.88748844487809753</v>
      </c>
      <c r="D11" s="162">
        <f t="shared" si="0"/>
        <v>0.78763573979214396</v>
      </c>
      <c r="E11" s="162">
        <f t="shared" si="1"/>
        <v>1.5334302622674396</v>
      </c>
      <c r="F11" s="162">
        <f t="shared" si="2"/>
        <v>2.3514083692375887</v>
      </c>
      <c r="H11" s="189" t="s">
        <v>498</v>
      </c>
    </row>
    <row r="12" spans="1:8" ht="17" x14ac:dyDescent="0.2">
      <c r="B12" s="166">
        <v>9</v>
      </c>
      <c r="C12" s="152">
        <f>'1.RETURNS'!D13*100</f>
        <v>-0.48215906453202134</v>
      </c>
      <c r="D12" s="167">
        <f t="shared" si="0"/>
        <v>0.23247736351039391</v>
      </c>
      <c r="E12" s="167">
        <f t="shared" si="1"/>
        <v>0.88748844487809753</v>
      </c>
      <c r="F12" s="167">
        <f t="shared" si="2"/>
        <v>0.78763573979214396</v>
      </c>
      <c r="H12" s="189" t="s">
        <v>499</v>
      </c>
    </row>
    <row r="13" spans="1:8" x14ac:dyDescent="0.2">
      <c r="B13" s="161">
        <v>10</v>
      </c>
      <c r="C13" s="160">
        <f>'1.RETURNS'!D14*100</f>
        <v>0.55124296395039873</v>
      </c>
      <c r="D13" s="162">
        <f t="shared" si="0"/>
        <v>0.30386880530482058</v>
      </c>
      <c r="E13" s="162">
        <f t="shared" si="1"/>
        <v>-0.48215906453202134</v>
      </c>
      <c r="F13" s="162">
        <f t="shared" si="2"/>
        <v>0.23247736351039391</v>
      </c>
      <c r="H13" s="189"/>
    </row>
    <row r="14" spans="1:8" ht="17" x14ac:dyDescent="0.2">
      <c r="B14" s="166">
        <v>11</v>
      </c>
      <c r="C14" s="152">
        <f>'1.RETURNS'!D15*100</f>
        <v>-0.42904899245061812</v>
      </c>
      <c r="D14" s="167">
        <f t="shared" si="0"/>
        <v>0.18408303792289057</v>
      </c>
      <c r="E14" s="167">
        <f t="shared" si="1"/>
        <v>0.55124296395039873</v>
      </c>
      <c r="F14" s="167">
        <f t="shared" si="2"/>
        <v>0.30386880530482058</v>
      </c>
      <c r="H14" s="188" t="s">
        <v>500</v>
      </c>
    </row>
    <row r="15" spans="1:8" x14ac:dyDescent="0.2">
      <c r="B15" s="161">
        <v>12</v>
      </c>
      <c r="C15" s="160">
        <f>'1.RETURNS'!D16*100</f>
        <v>-0.42128306139583027</v>
      </c>
      <c r="D15" s="162">
        <f t="shared" si="0"/>
        <v>0.17747941781904289</v>
      </c>
      <c r="E15" s="162">
        <f t="shared" si="1"/>
        <v>-0.42904899245061812</v>
      </c>
      <c r="F15" s="162">
        <f t="shared" si="2"/>
        <v>0.18408303792289057</v>
      </c>
      <c r="H15" s="189"/>
    </row>
    <row r="16" spans="1:8" ht="28" customHeight="1" x14ac:dyDescent="0.2">
      <c r="B16" s="166">
        <v>13</v>
      </c>
      <c r="C16" s="152">
        <f>'1.RETURNS'!D17*100</f>
        <v>0.2596741771265631</v>
      </c>
      <c r="D16" s="167">
        <f t="shared" si="0"/>
        <v>6.7430678266357666E-2</v>
      </c>
      <c r="E16" s="167">
        <f t="shared" si="1"/>
        <v>-0.42128306139583027</v>
      </c>
      <c r="F16" s="167">
        <f t="shared" si="2"/>
        <v>0.17747941781904289</v>
      </c>
      <c r="H16" s="190" t="s">
        <v>501</v>
      </c>
    </row>
    <row r="17" spans="2:8" ht="28" customHeight="1" x14ac:dyDescent="0.2">
      <c r="B17" s="161">
        <v>14</v>
      </c>
      <c r="C17" s="160">
        <f>'1.RETURNS'!D18*100</f>
        <v>-1.9171552133154184</v>
      </c>
      <c r="D17" s="162">
        <f t="shared" si="0"/>
        <v>3.6754841119424873</v>
      </c>
      <c r="E17" s="162">
        <f t="shared" si="1"/>
        <v>0.2596741771265631</v>
      </c>
      <c r="F17" s="162">
        <f t="shared" si="2"/>
        <v>6.7430678266357666E-2</v>
      </c>
      <c r="H17" s="190" t="s">
        <v>502</v>
      </c>
    </row>
    <row r="18" spans="2:8" x14ac:dyDescent="0.2">
      <c r="B18" s="166">
        <v>15</v>
      </c>
      <c r="C18" s="152">
        <f>'1.RETURNS'!D19*100</f>
        <v>-2.0470411829203212</v>
      </c>
      <c r="D18" s="167">
        <f t="shared" si="0"/>
        <v>4.190377604571828</v>
      </c>
      <c r="E18" s="167">
        <f t="shared" si="1"/>
        <v>-1.9171552133154184</v>
      </c>
      <c r="F18" s="167">
        <f t="shared" si="2"/>
        <v>3.6754841119424873</v>
      </c>
      <c r="H18" s="189"/>
    </row>
    <row r="19" spans="2:8" ht="17" x14ac:dyDescent="0.2">
      <c r="B19" s="161">
        <v>16</v>
      </c>
      <c r="C19" s="160">
        <f>'1.RETURNS'!D20*100</f>
        <v>-0.64772079169447583</v>
      </c>
      <c r="D19" s="162">
        <f t="shared" si="0"/>
        <v>0.41954222399331853</v>
      </c>
      <c r="E19" s="162">
        <f t="shared" si="1"/>
        <v>-2.0470411829203212</v>
      </c>
      <c r="F19" s="162">
        <f t="shared" si="2"/>
        <v>4.190377604571828</v>
      </c>
      <c r="H19" s="189" t="s">
        <v>503</v>
      </c>
    </row>
    <row r="20" spans="2:8" x14ac:dyDescent="0.2">
      <c r="B20" s="166">
        <v>17</v>
      </c>
      <c r="C20" s="152">
        <f>'1.RETURNS'!D21*100</f>
        <v>-0.97974154406534675</v>
      </c>
      <c r="D20" s="167">
        <f t="shared" si="0"/>
        <v>0.95989349316754979</v>
      </c>
      <c r="E20" s="167">
        <f t="shared" si="1"/>
        <v>-0.64772079169447583</v>
      </c>
      <c r="F20" s="167">
        <f t="shared" si="2"/>
        <v>0.41954222399331853</v>
      </c>
      <c r="H20" s="189"/>
    </row>
    <row r="21" spans="2:8" ht="17" x14ac:dyDescent="0.2">
      <c r="B21" s="161">
        <v>18</v>
      </c>
      <c r="C21" s="160">
        <f>'1.RETURNS'!D22*100</f>
        <v>0.36193332840726677</v>
      </c>
      <c r="D21" s="162">
        <f t="shared" si="0"/>
        <v>0.13099573421196242</v>
      </c>
      <c r="E21" s="162">
        <f t="shared" si="1"/>
        <v>-0.97974154406534675</v>
      </c>
      <c r="F21" s="162">
        <f t="shared" si="2"/>
        <v>0.95989349316754979</v>
      </c>
      <c r="H21" s="188" t="s">
        <v>504</v>
      </c>
    </row>
    <row r="22" spans="2:8" x14ac:dyDescent="0.2">
      <c r="B22" s="166">
        <v>19</v>
      </c>
      <c r="C22" s="152">
        <f>'1.RETURNS'!D23*100</f>
        <v>-0.87524506038356797</v>
      </c>
      <c r="D22" s="167">
        <f t="shared" si="0"/>
        <v>0.76605391572583559</v>
      </c>
      <c r="E22" s="167">
        <f t="shared" si="1"/>
        <v>0.36193332840726677</v>
      </c>
      <c r="F22" s="167">
        <f t="shared" si="2"/>
        <v>0.13099573421196242</v>
      </c>
      <c r="H22" s="189"/>
    </row>
    <row r="23" spans="2:8" ht="17" x14ac:dyDescent="0.2">
      <c r="B23" s="161">
        <v>20</v>
      </c>
      <c r="C23" s="160">
        <f>'1.RETURNS'!D24*100</f>
        <v>-1.4251166520256224</v>
      </c>
      <c r="D23" s="162">
        <f t="shared" si="0"/>
        <v>2.0309574718807188</v>
      </c>
      <c r="E23" s="162">
        <f t="shared" si="1"/>
        <v>-0.87524506038356797</v>
      </c>
      <c r="F23" s="162">
        <f t="shared" si="2"/>
        <v>0.76605391572583559</v>
      </c>
      <c r="H23" s="191" t="s">
        <v>505</v>
      </c>
    </row>
    <row r="24" spans="2:8" ht="34" x14ac:dyDescent="0.2">
      <c r="B24" s="166">
        <v>21</v>
      </c>
      <c r="C24" s="152">
        <f>'1.RETURNS'!D25*100</f>
        <v>1.6633480164295882</v>
      </c>
      <c r="D24" s="167">
        <f t="shared" si="0"/>
        <v>2.7667266237602455</v>
      </c>
      <c r="E24" s="167">
        <f t="shared" si="1"/>
        <v>-1.4251166520256224</v>
      </c>
      <c r="F24" s="167">
        <f t="shared" si="2"/>
        <v>2.0309574718807188</v>
      </c>
      <c r="H24" s="192" t="s">
        <v>506</v>
      </c>
    </row>
    <row r="25" spans="2:8" ht="28" customHeight="1" x14ac:dyDescent="0.2">
      <c r="B25" s="161">
        <v>22</v>
      </c>
      <c r="C25" s="160">
        <f>'1.RETURNS'!D26*100</f>
        <v>-0.23279526462302333</v>
      </c>
      <c r="D25" s="162">
        <f t="shared" si="0"/>
        <v>5.419363523090346E-2</v>
      </c>
      <c r="E25" s="162">
        <f t="shared" si="1"/>
        <v>1.6633480164295882</v>
      </c>
      <c r="F25" s="162">
        <f t="shared" si="2"/>
        <v>2.7667266237602455</v>
      </c>
      <c r="H25" s="192" t="s">
        <v>507</v>
      </c>
    </row>
    <row r="26" spans="2:8" ht="17" x14ac:dyDescent="0.2">
      <c r="B26" s="166">
        <v>23</v>
      </c>
      <c r="C26" s="152">
        <f>'1.RETURNS'!D27*100</f>
        <v>9.3726235716231551E-2</v>
      </c>
      <c r="D26" s="167">
        <f t="shared" si="0"/>
        <v>8.7846072615345994E-3</v>
      </c>
      <c r="E26" s="167">
        <f t="shared" si="1"/>
        <v>-0.23279526462302333</v>
      </c>
      <c r="F26" s="167">
        <f t="shared" si="2"/>
        <v>5.419363523090346E-2</v>
      </c>
      <c r="H26" s="192" t="s">
        <v>508</v>
      </c>
    </row>
    <row r="27" spans="2:8" ht="17" x14ac:dyDescent="0.2">
      <c r="B27" s="161">
        <v>24</v>
      </c>
      <c r="C27" s="160">
        <f>'1.RETURNS'!D28*100</f>
        <v>-1.3635751621641814</v>
      </c>
      <c r="D27" s="162">
        <f t="shared" si="0"/>
        <v>1.8593372228710736</v>
      </c>
      <c r="E27" s="162">
        <f t="shared" si="1"/>
        <v>9.3726235716231551E-2</v>
      </c>
      <c r="F27" s="162">
        <f t="shared" si="2"/>
        <v>8.7846072615345994E-3</v>
      </c>
      <c r="H27" s="192" t="s">
        <v>509</v>
      </c>
    </row>
    <row r="28" spans="2:8" ht="51" x14ac:dyDescent="0.2">
      <c r="B28" s="166">
        <v>25</v>
      </c>
      <c r="C28" s="152">
        <f>'1.RETURNS'!D29*100</f>
        <v>-0.55921391318446878</v>
      </c>
      <c r="D28" s="167">
        <f t="shared" si="0"/>
        <v>0.31272020069908657</v>
      </c>
      <c r="E28" s="167">
        <f t="shared" si="1"/>
        <v>-1.3635751621641814</v>
      </c>
      <c r="F28" s="167">
        <f t="shared" si="2"/>
        <v>1.8593372228710736</v>
      </c>
      <c r="H28" s="189" t="s">
        <v>510</v>
      </c>
    </row>
    <row r="29" spans="2:8" ht="17" x14ac:dyDescent="0.2">
      <c r="B29" s="161">
        <v>26</v>
      </c>
      <c r="C29" s="160">
        <f>'1.RETURNS'!D30*100</f>
        <v>0.13854201179323264</v>
      </c>
      <c r="D29" s="162">
        <f t="shared" si="0"/>
        <v>1.9193889031716212E-2</v>
      </c>
      <c r="E29" s="162">
        <f t="shared" si="1"/>
        <v>-0.55921391318446878</v>
      </c>
      <c r="F29" s="162">
        <f t="shared" si="2"/>
        <v>0.31272020069908657</v>
      </c>
      <c r="H29" s="191" t="s">
        <v>511</v>
      </c>
    </row>
    <row r="30" spans="2:8" ht="17" x14ac:dyDescent="0.2">
      <c r="B30" s="166">
        <v>27</v>
      </c>
      <c r="C30" s="152">
        <f>'1.RETURNS'!D31*100</f>
        <v>-1.1016357826425731</v>
      </c>
      <c r="D30" s="167">
        <f t="shared" si="0"/>
        <v>1.2136013975985145</v>
      </c>
      <c r="E30" s="167">
        <f t="shared" si="1"/>
        <v>0.13854201179323264</v>
      </c>
      <c r="F30" s="167">
        <f t="shared" si="2"/>
        <v>1.9193889031716212E-2</v>
      </c>
      <c r="H30" s="192" t="s">
        <v>512</v>
      </c>
    </row>
    <row r="31" spans="2:8" ht="28" customHeight="1" x14ac:dyDescent="0.2">
      <c r="B31" s="161">
        <v>28</v>
      </c>
      <c r="C31" s="160">
        <f>'1.RETURNS'!D32*100</f>
        <v>0.43343886599564774</v>
      </c>
      <c r="D31" s="162">
        <f t="shared" si="0"/>
        <v>0.18786925055559309</v>
      </c>
      <c r="E31" s="162">
        <f t="shared" si="1"/>
        <v>-1.1016357826425731</v>
      </c>
      <c r="F31" s="162">
        <f t="shared" si="2"/>
        <v>1.2136013975985145</v>
      </c>
      <c r="H31" s="192" t="s">
        <v>513</v>
      </c>
    </row>
    <row r="32" spans="2:8" ht="17" x14ac:dyDescent="0.2">
      <c r="B32" s="166">
        <v>29</v>
      </c>
      <c r="C32" s="152">
        <f>'1.RETURNS'!D33*100</f>
        <v>-0.59637653469286867</v>
      </c>
      <c r="D32" s="167">
        <f t="shared" si="0"/>
        <v>0.35566497113227441</v>
      </c>
      <c r="E32" s="167">
        <f t="shared" si="1"/>
        <v>0.43343886599564774</v>
      </c>
      <c r="F32" s="167">
        <f t="shared" si="2"/>
        <v>0.18786925055559309</v>
      </c>
      <c r="H32" s="192" t="s">
        <v>514</v>
      </c>
    </row>
    <row r="33" spans="2:8" ht="17" x14ac:dyDescent="0.2">
      <c r="B33" s="161">
        <v>30</v>
      </c>
      <c r="C33" s="160">
        <f>'1.RETURNS'!D34*100</f>
        <v>-0.27659885362656095</v>
      </c>
      <c r="D33" s="162">
        <f t="shared" si="0"/>
        <v>7.6506925827527689E-2</v>
      </c>
      <c r="E33" s="162">
        <f t="shared" si="1"/>
        <v>-0.59637653469286867</v>
      </c>
      <c r="F33" s="162">
        <f t="shared" si="2"/>
        <v>0.35566497113227441</v>
      </c>
      <c r="H33" s="192" t="s">
        <v>515</v>
      </c>
    </row>
    <row r="34" spans="2:8" x14ac:dyDescent="0.2">
      <c r="B34" s="166">
        <v>31</v>
      </c>
      <c r="C34" s="152">
        <f>'1.RETURNS'!D35*100</f>
        <v>-0.54750569563483564</v>
      </c>
      <c r="D34" s="167">
        <f t="shared" si="0"/>
        <v>0.29976248675258527</v>
      </c>
      <c r="E34" s="167">
        <f t="shared" si="1"/>
        <v>-0.27659885362656095</v>
      </c>
      <c r="F34" s="167">
        <f t="shared" si="2"/>
        <v>7.6506925827527689E-2</v>
      </c>
      <c r="H34" s="189"/>
    </row>
    <row r="35" spans="2:8" ht="17" x14ac:dyDescent="0.2">
      <c r="B35" s="161">
        <v>32</v>
      </c>
      <c r="C35" s="160">
        <f>'1.RETURNS'!D36*100</f>
        <v>1.8407343631838935</v>
      </c>
      <c r="D35" s="162">
        <f t="shared" si="0"/>
        <v>3.388302995806014</v>
      </c>
      <c r="E35" s="162">
        <f t="shared" si="1"/>
        <v>-0.54750569563483564</v>
      </c>
      <c r="F35" s="162">
        <f t="shared" si="2"/>
        <v>0.29976248675258527</v>
      </c>
      <c r="H35" s="188" t="s">
        <v>476</v>
      </c>
    </row>
    <row r="36" spans="2:8" ht="17" x14ac:dyDescent="0.2">
      <c r="B36" s="166">
        <v>33</v>
      </c>
      <c r="C36" s="152">
        <f>'1.RETURNS'!D37*100</f>
        <v>8.7750087806441543E-3</v>
      </c>
      <c r="D36" s="167">
        <f t="shared" ref="D36:D63" si="3">C36^2</f>
        <v>7.7000779100382002E-5</v>
      </c>
      <c r="E36" s="167">
        <f t="shared" si="1"/>
        <v>1.8407343631838935</v>
      </c>
      <c r="F36" s="167">
        <f t="shared" si="2"/>
        <v>3.388302995806014</v>
      </c>
      <c r="H36" s="193" t="s">
        <v>516</v>
      </c>
    </row>
    <row r="37" spans="2:8" ht="17" x14ac:dyDescent="0.2">
      <c r="B37" s="161">
        <v>34</v>
      </c>
      <c r="C37" s="160">
        <f>'1.RETURNS'!D38*100</f>
        <v>-0.93562805766086821</v>
      </c>
      <c r="D37" s="162">
        <f t="shared" si="3"/>
        <v>0.87539986228224898</v>
      </c>
      <c r="E37" s="162">
        <f t="shared" ref="E37:E63" si="4">C36</f>
        <v>8.7750087806441543E-3</v>
      </c>
      <c r="F37" s="162">
        <f t="shared" ref="F37:F63" si="5">D36</f>
        <v>7.7000779100382002E-5</v>
      </c>
      <c r="H37" s="193" t="s">
        <v>517</v>
      </c>
    </row>
    <row r="38" spans="2:8" ht="17" x14ac:dyDescent="0.2">
      <c r="B38" s="166">
        <v>35</v>
      </c>
      <c r="C38" s="152">
        <f>'1.RETURNS'!D39*100</f>
        <v>0.90814585452372432</v>
      </c>
      <c r="D38" s="167">
        <f t="shared" si="3"/>
        <v>0.8247288930886254</v>
      </c>
      <c r="E38" s="167">
        <f t="shared" si="4"/>
        <v>-0.93562805766086821</v>
      </c>
      <c r="F38" s="167">
        <f t="shared" si="5"/>
        <v>0.87539986228224898</v>
      </c>
      <c r="H38" s="193" t="s">
        <v>518</v>
      </c>
    </row>
    <row r="39" spans="2:8" ht="17" x14ac:dyDescent="0.2">
      <c r="B39" s="161">
        <v>36</v>
      </c>
      <c r="C39" s="160">
        <f>'1.RETURNS'!D40*100</f>
        <v>-1.3189794377500772</v>
      </c>
      <c r="D39" s="162">
        <f t="shared" si="3"/>
        <v>1.7397067572075098</v>
      </c>
      <c r="E39" s="162">
        <f t="shared" si="4"/>
        <v>0.90814585452372432</v>
      </c>
      <c r="F39" s="162">
        <f t="shared" si="5"/>
        <v>0.8247288930886254</v>
      </c>
      <c r="H39" s="193" t="s">
        <v>519</v>
      </c>
    </row>
    <row r="40" spans="2:8" x14ac:dyDescent="0.2">
      <c r="B40" s="166">
        <v>37</v>
      </c>
      <c r="C40" s="152">
        <f>'1.RETURNS'!D41*100</f>
        <v>0.25898212119692798</v>
      </c>
      <c r="D40" s="167">
        <f t="shared" si="3"/>
        <v>6.7071739099660299E-2</v>
      </c>
      <c r="E40" s="167">
        <f t="shared" si="4"/>
        <v>-1.3189794377500772</v>
      </c>
      <c r="F40" s="167">
        <f t="shared" si="5"/>
        <v>1.7397067572075098</v>
      </c>
    </row>
    <row r="41" spans="2:8" x14ac:dyDescent="0.2">
      <c r="B41" s="161">
        <v>38</v>
      </c>
      <c r="C41" s="160">
        <f>'1.RETURNS'!D42*100</f>
        <v>-1.8806258881128821</v>
      </c>
      <c r="D41" s="162">
        <f t="shared" si="3"/>
        <v>3.5367537310403665</v>
      </c>
      <c r="E41" s="162">
        <f t="shared" si="4"/>
        <v>0.25898212119692798</v>
      </c>
      <c r="F41" s="162">
        <f t="shared" si="5"/>
        <v>6.7071739099660299E-2</v>
      </c>
    </row>
    <row r="42" spans="2:8" x14ac:dyDescent="0.2">
      <c r="B42" s="166">
        <v>39</v>
      </c>
      <c r="C42" s="152">
        <f>'1.RETURNS'!D43*100</f>
        <v>-1.5574917471076215</v>
      </c>
      <c r="D42" s="167">
        <f t="shared" si="3"/>
        <v>2.4257805423083512</v>
      </c>
      <c r="E42" s="167">
        <f t="shared" si="4"/>
        <v>-1.8806258881128821</v>
      </c>
      <c r="F42" s="167">
        <f t="shared" si="5"/>
        <v>3.5367537310403665</v>
      </c>
    </row>
    <row r="43" spans="2:8" x14ac:dyDescent="0.2">
      <c r="B43" s="161">
        <v>40</v>
      </c>
      <c r="C43" s="160">
        <f>'1.RETURNS'!D44*100</f>
        <v>0.24878125762513001</v>
      </c>
      <c r="D43" s="162">
        <f t="shared" si="3"/>
        <v>6.1892114145541306E-2</v>
      </c>
      <c r="E43" s="162">
        <f t="shared" si="4"/>
        <v>-1.5574917471076215</v>
      </c>
      <c r="F43" s="162">
        <f t="shared" si="5"/>
        <v>2.4257805423083512</v>
      </c>
    </row>
    <row r="44" spans="2:8" x14ac:dyDescent="0.2">
      <c r="B44" s="166">
        <v>41</v>
      </c>
      <c r="C44" s="152">
        <f>'1.RETURNS'!D45*100</f>
        <v>0.75532940637161583</v>
      </c>
      <c r="D44" s="167">
        <f t="shared" si="3"/>
        <v>0.57052251212969751</v>
      </c>
      <c r="E44" s="167">
        <f t="shared" si="4"/>
        <v>0.24878125762513001</v>
      </c>
      <c r="F44" s="167">
        <f t="shared" si="5"/>
        <v>6.1892114145541306E-2</v>
      </c>
    </row>
    <row r="45" spans="2:8" x14ac:dyDescent="0.2">
      <c r="B45" s="161">
        <v>42</v>
      </c>
      <c r="C45" s="160">
        <f>'1.RETURNS'!D46*100</f>
        <v>0.21145723363076521</v>
      </c>
      <c r="D45" s="162">
        <f t="shared" si="3"/>
        <v>4.471416165477602E-2</v>
      </c>
      <c r="E45" s="162">
        <f t="shared" si="4"/>
        <v>0.75532940637161583</v>
      </c>
      <c r="F45" s="162">
        <f t="shared" si="5"/>
        <v>0.57052251212969751</v>
      </c>
    </row>
    <row r="46" spans="2:8" x14ac:dyDescent="0.2">
      <c r="B46" s="166">
        <v>43</v>
      </c>
      <c r="C46" s="152">
        <f>'1.RETURNS'!D47*100</f>
        <v>-8.4768128441018997E-2</v>
      </c>
      <c r="D46" s="167">
        <f t="shared" si="3"/>
        <v>7.1856355993930934E-3</v>
      </c>
      <c r="E46" s="167">
        <f t="shared" si="4"/>
        <v>0.21145723363076521</v>
      </c>
      <c r="F46" s="167">
        <f t="shared" si="5"/>
        <v>4.471416165477602E-2</v>
      </c>
    </row>
    <row r="47" spans="2:8" x14ac:dyDescent="0.2">
      <c r="B47" s="161">
        <v>44</v>
      </c>
      <c r="C47" s="160">
        <f>'1.RETURNS'!D48*100</f>
        <v>-0.27581407103905642</v>
      </c>
      <c r="D47" s="162">
        <f t="shared" si="3"/>
        <v>7.6073401783137665E-2</v>
      </c>
      <c r="E47" s="162">
        <f t="shared" si="4"/>
        <v>-8.4768128441018997E-2</v>
      </c>
      <c r="F47" s="162">
        <f t="shared" si="5"/>
        <v>7.1856355993930934E-3</v>
      </c>
    </row>
    <row r="48" spans="2:8" x14ac:dyDescent="0.2">
      <c r="B48" s="166">
        <v>45</v>
      </c>
      <c r="C48" s="152">
        <f>'1.RETURNS'!D49*100</f>
        <v>-1.4851304136611461</v>
      </c>
      <c r="D48" s="167">
        <f t="shared" si="3"/>
        <v>2.205612345581327</v>
      </c>
      <c r="E48" s="167">
        <f t="shared" si="4"/>
        <v>-0.27581407103905642</v>
      </c>
      <c r="F48" s="167">
        <f t="shared" si="5"/>
        <v>7.6073401783137665E-2</v>
      </c>
    </row>
    <row r="49" spans="2:6" x14ac:dyDescent="0.2">
      <c r="B49" s="161">
        <v>46</v>
      </c>
      <c r="C49" s="160">
        <f>'1.RETURNS'!D50*100</f>
        <v>-0.76831274315068232</v>
      </c>
      <c r="D49" s="162">
        <f t="shared" si="3"/>
        <v>0.59030447128772634</v>
      </c>
      <c r="E49" s="162">
        <f t="shared" si="4"/>
        <v>-1.4851304136611461</v>
      </c>
      <c r="F49" s="162">
        <f t="shared" si="5"/>
        <v>2.205612345581327</v>
      </c>
    </row>
    <row r="50" spans="2:6" x14ac:dyDescent="0.2">
      <c r="B50" s="166">
        <v>47</v>
      </c>
      <c r="C50" s="152">
        <f>'1.RETURNS'!D51*100</f>
        <v>-0.43656826068705945</v>
      </c>
      <c r="D50" s="167">
        <f t="shared" si="3"/>
        <v>0.19059184623932429</v>
      </c>
      <c r="E50" s="167">
        <f t="shared" si="4"/>
        <v>-0.76831274315068232</v>
      </c>
      <c r="F50" s="167">
        <f t="shared" si="5"/>
        <v>0.59030447128772634</v>
      </c>
    </row>
    <row r="51" spans="2:6" x14ac:dyDescent="0.2">
      <c r="B51" s="161">
        <v>48</v>
      </c>
      <c r="C51" s="160">
        <f>'1.RETURNS'!D52*100</f>
        <v>1.0511055683539985</v>
      </c>
      <c r="D51" s="162">
        <f t="shared" si="3"/>
        <v>1.1048229158247822</v>
      </c>
      <c r="E51" s="162">
        <f t="shared" si="4"/>
        <v>-0.43656826068705945</v>
      </c>
      <c r="F51" s="162">
        <f t="shared" si="5"/>
        <v>0.19059184623932429</v>
      </c>
    </row>
    <row r="52" spans="2:6" x14ac:dyDescent="0.2">
      <c r="B52" s="166">
        <v>49</v>
      </c>
      <c r="C52" s="152">
        <f>'1.RETURNS'!D53*100</f>
        <v>0.38205554190330077</v>
      </c>
      <c r="D52" s="167">
        <f t="shared" si="3"/>
        <v>0.14596643709902482</v>
      </c>
      <c r="E52" s="167">
        <f t="shared" si="4"/>
        <v>1.0511055683539985</v>
      </c>
      <c r="F52" s="167">
        <f t="shared" si="5"/>
        <v>1.1048229158247822</v>
      </c>
    </row>
    <row r="53" spans="2:6" x14ac:dyDescent="0.2">
      <c r="B53" s="161">
        <v>50</v>
      </c>
      <c r="C53" s="160">
        <f>'1.RETURNS'!D54*100</f>
        <v>-1.6681933197953236</v>
      </c>
      <c r="D53" s="162">
        <f t="shared" si="3"/>
        <v>2.7828689522097427</v>
      </c>
      <c r="E53" s="162">
        <f t="shared" si="4"/>
        <v>0.38205554190330077</v>
      </c>
      <c r="F53" s="162">
        <f t="shared" si="5"/>
        <v>0.14596643709902482</v>
      </c>
    </row>
    <row r="54" spans="2:6" x14ac:dyDescent="0.2">
      <c r="B54" s="166">
        <v>51</v>
      </c>
      <c r="C54" s="152">
        <f>'1.RETURNS'!D55*100</f>
        <v>0.4039434852456803</v>
      </c>
      <c r="D54" s="167">
        <f t="shared" si="3"/>
        <v>0.16317033927242713</v>
      </c>
      <c r="E54" s="167">
        <f t="shared" si="4"/>
        <v>-1.6681933197953236</v>
      </c>
      <c r="F54" s="167">
        <f t="shared" si="5"/>
        <v>2.7828689522097427</v>
      </c>
    </row>
    <row r="55" spans="2:6" x14ac:dyDescent="0.2">
      <c r="B55" s="161">
        <v>52</v>
      </c>
      <c r="C55" s="160">
        <f>'1.RETURNS'!D56*100</f>
        <v>-0.34328481905995306</v>
      </c>
      <c r="D55" s="162">
        <f t="shared" si="3"/>
        <v>0.11784446699702471</v>
      </c>
      <c r="E55" s="162">
        <f t="shared" si="4"/>
        <v>0.4039434852456803</v>
      </c>
      <c r="F55" s="162">
        <f t="shared" si="5"/>
        <v>0.16317033927242713</v>
      </c>
    </row>
    <row r="56" spans="2:6" x14ac:dyDescent="0.2">
      <c r="B56" s="166">
        <v>53</v>
      </c>
      <c r="C56" s="152">
        <f>'1.RETURNS'!D57*100</f>
        <v>-0.63454123510951776</v>
      </c>
      <c r="D56" s="167">
        <f t="shared" si="3"/>
        <v>0.40264257905431228</v>
      </c>
      <c r="E56" s="167">
        <f t="shared" si="4"/>
        <v>-0.34328481905995306</v>
      </c>
      <c r="F56" s="167">
        <f t="shared" si="5"/>
        <v>0.11784446699702471</v>
      </c>
    </row>
    <row r="57" spans="2:6" x14ac:dyDescent="0.2">
      <c r="B57" s="161">
        <v>54</v>
      </c>
      <c r="C57" s="160">
        <f>'1.RETURNS'!D58*100</f>
        <v>0.67446710168615143</v>
      </c>
      <c r="D57" s="162">
        <f t="shared" si="3"/>
        <v>0.45490587125691734</v>
      </c>
      <c r="E57" s="162">
        <f t="shared" si="4"/>
        <v>-0.63454123510951776</v>
      </c>
      <c r="F57" s="162">
        <f t="shared" si="5"/>
        <v>0.40264257905431228</v>
      </c>
    </row>
    <row r="58" spans="2:6" x14ac:dyDescent="0.2">
      <c r="B58" s="166">
        <v>55</v>
      </c>
      <c r="C58" s="152">
        <f>'1.RETURNS'!D59*100</f>
        <v>1.0476356326837035</v>
      </c>
      <c r="D58" s="167">
        <f t="shared" si="3"/>
        <v>1.0975404188685838</v>
      </c>
      <c r="E58" s="167">
        <f t="shared" si="4"/>
        <v>0.67446710168615143</v>
      </c>
      <c r="F58" s="167">
        <f t="shared" si="5"/>
        <v>0.45490587125691734</v>
      </c>
    </row>
    <row r="59" spans="2:6" x14ac:dyDescent="0.2">
      <c r="B59" s="161">
        <v>56</v>
      </c>
      <c r="C59" s="160">
        <f>'1.RETURNS'!D60*100</f>
        <v>1.0563192393945127</v>
      </c>
      <c r="D59" s="162">
        <f t="shared" si="3"/>
        <v>1.1158103355150017</v>
      </c>
      <c r="E59" s="162">
        <f t="shared" si="4"/>
        <v>1.0476356326837035</v>
      </c>
      <c r="F59" s="162">
        <f t="shared" si="5"/>
        <v>1.0975404188685838</v>
      </c>
    </row>
    <row r="60" spans="2:6" x14ac:dyDescent="0.2">
      <c r="B60" s="166">
        <v>57</v>
      </c>
      <c r="C60" s="152">
        <f>'1.RETURNS'!D61*100</f>
        <v>-0.86289840852801281</v>
      </c>
      <c r="D60" s="167">
        <f t="shared" si="3"/>
        <v>0.7445936634401773</v>
      </c>
      <c r="E60" s="167">
        <f t="shared" si="4"/>
        <v>1.0563192393945127</v>
      </c>
      <c r="F60" s="167">
        <f t="shared" si="5"/>
        <v>1.1158103355150017</v>
      </c>
    </row>
    <row r="61" spans="2:6" x14ac:dyDescent="0.2">
      <c r="B61" s="161">
        <v>58</v>
      </c>
      <c r="C61" s="160">
        <f>'1.RETURNS'!D62*100</f>
        <v>-0.28929542546789916</v>
      </c>
      <c r="D61" s="162">
        <f t="shared" si="3"/>
        <v>8.3691843196652793E-2</v>
      </c>
      <c r="E61" s="162">
        <f t="shared" si="4"/>
        <v>-0.86289840852801281</v>
      </c>
      <c r="F61" s="162">
        <f t="shared" si="5"/>
        <v>0.7445936634401773</v>
      </c>
    </row>
    <row r="62" spans="2:6" x14ac:dyDescent="0.2">
      <c r="B62" s="166">
        <v>59</v>
      </c>
      <c r="C62" s="152">
        <f>'1.RETURNS'!D63*100</f>
        <v>0.35960394652092031</v>
      </c>
      <c r="D62" s="167">
        <f t="shared" si="3"/>
        <v>0.12931499835342092</v>
      </c>
      <c r="E62" s="167">
        <f t="shared" si="4"/>
        <v>-0.28929542546789916</v>
      </c>
      <c r="F62" s="167">
        <f t="shared" si="5"/>
        <v>8.3691843196652793E-2</v>
      </c>
    </row>
    <row r="63" spans="2:6" x14ac:dyDescent="0.2">
      <c r="B63" s="161">
        <v>60</v>
      </c>
      <c r="C63" s="160">
        <f>'1.RETURNS'!D64*100</f>
        <v>1.009262684375511</v>
      </c>
      <c r="D63" s="162">
        <f t="shared" si="3"/>
        <v>1.0186111660728625</v>
      </c>
      <c r="E63" s="162">
        <f t="shared" si="4"/>
        <v>0.35960394652092031</v>
      </c>
      <c r="F63" s="162">
        <f t="shared" si="5"/>
        <v>0.12931499835342092</v>
      </c>
    </row>
    <row r="66" spans="1:7" x14ac:dyDescent="0.2">
      <c r="B66" s="194" t="s">
        <v>520</v>
      </c>
      <c r="C66" s="195"/>
      <c r="D66" s="195"/>
      <c r="E66" s="195"/>
      <c r="F66" s="196"/>
    </row>
    <row r="67" spans="1:7" ht="28" customHeight="1" x14ac:dyDescent="0.2">
      <c r="A67" s="73"/>
      <c r="B67" s="73" t="s">
        <v>521</v>
      </c>
      <c r="C67" s="73" t="s">
        <v>522</v>
      </c>
      <c r="D67" s="73" t="s">
        <v>523</v>
      </c>
      <c r="E67" s="73" t="s">
        <v>524</v>
      </c>
      <c r="F67" s="73" t="s">
        <v>525</v>
      </c>
    </row>
    <row r="68" spans="1:7" ht="34" x14ac:dyDescent="0.2">
      <c r="B68" s="99">
        <v>1</v>
      </c>
      <c r="C68" s="162">
        <f>CORREL('1.RETURNS'!D6:D254,'1.RETURNS'!D5:D253)</f>
        <v>-0.16792778713769543</v>
      </c>
      <c r="D68" s="197">
        <f t="array" ref="D68">CORREL(('1.RETURNS'!D6:D254)^2,('1.RETURNS'!D5:D253)^2)</f>
        <v>9.4382044294242934E-2</v>
      </c>
      <c r="E68" s="198" t="str">
        <f t="shared" ref="E68:E77" si="6">IF(ABS(C68)&lt;0.1,"YES — near zero","Not near zero")</f>
        <v>Not near zero</v>
      </c>
      <c r="F68" s="199" t="str">
        <f t="shared" ref="F68:F77" si="7">IF(D68&gt;0.05,"YES — clustering!","Weak")</f>
        <v>YES — clustering!</v>
      </c>
      <c r="G68" s="225">
        <f>C68^2</f>
        <v>2.8199741692963149E-2</v>
      </c>
    </row>
    <row r="69" spans="1:7" ht="34" x14ac:dyDescent="0.2">
      <c r="B69" s="104">
        <v>2</v>
      </c>
      <c r="C69" s="167">
        <f>CORREL('1.RETURNS'!D7:D254,'1.RETURNS'!D5:D252)</f>
        <v>0.13936336045260889</v>
      </c>
      <c r="D69" s="200">
        <f t="array" ref="D69">CORREL(('1.RETURNS'!D7:D254)^2,('1.RETURNS'!D5:D252)^2)</f>
        <v>0.14222001780164381</v>
      </c>
      <c r="E69" s="201" t="str">
        <f t="shared" si="6"/>
        <v>Not near zero</v>
      </c>
      <c r="F69" s="202" t="str">
        <f t="shared" si="7"/>
        <v>YES — clustering!</v>
      </c>
    </row>
    <row r="70" spans="1:7" ht="34" x14ac:dyDescent="0.2">
      <c r="B70" s="99">
        <v>3</v>
      </c>
      <c r="C70" s="162">
        <f>CORREL('1.RETURNS'!D8:D254,'1.RETURNS'!D5:D251)</f>
        <v>-0.10804433148483041</v>
      </c>
      <c r="D70" s="197">
        <f t="array" ref="D70">CORREL(('1.RETURNS'!D8:D254)^2,('1.RETURNS'!D5:D251)^2)</f>
        <v>8.9525856733940729E-2</v>
      </c>
      <c r="E70" s="198" t="str">
        <f t="shared" si="6"/>
        <v>Not near zero</v>
      </c>
      <c r="F70" s="199" t="str">
        <f t="shared" si="7"/>
        <v>YES — clustering!</v>
      </c>
    </row>
    <row r="71" spans="1:7" ht="34" x14ac:dyDescent="0.2">
      <c r="B71" s="104">
        <v>4</v>
      </c>
      <c r="C71" s="167">
        <f>CORREL('1.RETURNS'!D9:D254,'1.RETURNS'!D5:D250)</f>
        <v>7.2265681052584338E-2</v>
      </c>
      <c r="D71" s="200">
        <f t="array" ref="D71">CORREL(('1.RETURNS'!D9:D254)^2,('1.RETURNS'!D5:D250)^2)</f>
        <v>0.28510245424827652</v>
      </c>
      <c r="E71" s="201" t="str">
        <f t="shared" si="6"/>
        <v>YES — near zero</v>
      </c>
      <c r="F71" s="202" t="str">
        <f t="shared" si="7"/>
        <v>YES — clustering!</v>
      </c>
    </row>
    <row r="72" spans="1:7" ht="34" x14ac:dyDescent="0.2">
      <c r="B72" s="99">
        <v>5</v>
      </c>
      <c r="C72" s="162">
        <f>CORREL('1.RETURNS'!D10:D254,'1.RETURNS'!D5:D249)</f>
        <v>-3.0267311182634576E-2</v>
      </c>
      <c r="D72" s="197">
        <f t="array" ref="D72">CORREL(('1.RETURNS'!D10:D254)^2,('1.RETURNS'!D5:D249)^2)</f>
        <v>6.6794846359173446E-2</v>
      </c>
      <c r="E72" s="198" t="str">
        <f t="shared" si="6"/>
        <v>YES — near zero</v>
      </c>
      <c r="F72" s="199" t="str">
        <f t="shared" si="7"/>
        <v>YES — clustering!</v>
      </c>
    </row>
    <row r="73" spans="1:7" ht="17" x14ac:dyDescent="0.2">
      <c r="B73" s="104">
        <v>6</v>
      </c>
      <c r="C73" s="167">
        <f>CORREL('1.RETURNS'!D11:D254,'1.RETURNS'!D5:D248)</f>
        <v>0.12281280800780889</v>
      </c>
      <c r="D73" s="200">
        <f t="array" ref="D73">CORREL(('1.RETURNS'!D11:D254)^2,('1.RETURNS'!D5:D248)^2)</f>
        <v>-5.9643576299825739E-3</v>
      </c>
      <c r="E73" s="201" t="str">
        <f t="shared" si="6"/>
        <v>Not near zero</v>
      </c>
      <c r="F73" s="202" t="str">
        <f t="shared" si="7"/>
        <v>Weak</v>
      </c>
    </row>
    <row r="74" spans="1:7" ht="17" x14ac:dyDescent="0.2">
      <c r="B74" s="99">
        <v>7</v>
      </c>
      <c r="C74" s="162">
        <f>CORREL('1.RETURNS'!D12:D254,'1.RETURNS'!D5:D247)</f>
        <v>-0.10100866940318076</v>
      </c>
      <c r="D74" s="197">
        <f t="array" ref="D74">CORREL(('1.RETURNS'!D12:D254)^2,('1.RETURNS'!D5:D247)^2)</f>
        <v>2.4839160057368182E-2</v>
      </c>
      <c r="E74" s="198" t="str">
        <f t="shared" si="6"/>
        <v>Not near zero</v>
      </c>
      <c r="F74" s="199" t="str">
        <f t="shared" si="7"/>
        <v>Weak</v>
      </c>
    </row>
    <row r="75" spans="1:7" ht="34" x14ac:dyDescent="0.2">
      <c r="B75" s="104">
        <v>8</v>
      </c>
      <c r="C75" s="167">
        <f>CORREL('1.RETURNS'!D13:D254,'1.RETURNS'!D5:D246)</f>
        <v>0.12604095707381729</v>
      </c>
      <c r="D75" s="200">
        <f t="array" ref="D75">CORREL(('1.RETURNS'!D13:D254)^2,('1.RETURNS'!D5:D246)^2)</f>
        <v>6.057463613866676E-2</v>
      </c>
      <c r="E75" s="201" t="str">
        <f t="shared" si="6"/>
        <v>Not near zero</v>
      </c>
      <c r="F75" s="202" t="str">
        <f t="shared" si="7"/>
        <v>YES — clustering!</v>
      </c>
    </row>
    <row r="76" spans="1:7" ht="17" x14ac:dyDescent="0.2">
      <c r="B76" s="99">
        <v>9</v>
      </c>
      <c r="C76" s="162">
        <f>CORREL('1.RETURNS'!D14:D254,'1.RETURNS'!D5:D245)</f>
        <v>-8.1800826264330342E-2</v>
      </c>
      <c r="D76" s="197">
        <f t="array" ref="D76">CORREL(('1.RETURNS'!D14:D254)^2,('1.RETURNS'!D5:D245)^2)</f>
        <v>-5.1825928693805699E-3</v>
      </c>
      <c r="E76" s="198" t="str">
        <f t="shared" si="6"/>
        <v>YES — near zero</v>
      </c>
      <c r="F76" s="199" t="str">
        <f t="shared" si="7"/>
        <v>Weak</v>
      </c>
    </row>
    <row r="77" spans="1:7" ht="17" x14ac:dyDescent="0.2">
      <c r="B77" s="104">
        <v>10</v>
      </c>
      <c r="C77" s="167">
        <f>CORREL('1.RETURNS'!D15:D254,'1.RETURNS'!D5:D244)</f>
        <v>4.7901802834763488E-2</v>
      </c>
      <c r="D77" s="200">
        <f t="array" ref="D77">CORREL(('1.RETURNS'!D15:D254)^2,('1.RETURNS'!D5:D244)^2)</f>
        <v>-3.8893000859037047E-2</v>
      </c>
      <c r="E77" s="201" t="str">
        <f t="shared" si="6"/>
        <v>YES — near zero</v>
      </c>
      <c r="F77" s="202" t="str">
        <f t="shared" si="7"/>
        <v>Weak</v>
      </c>
    </row>
  </sheetData>
  <mergeCells count="2">
    <mergeCell ref="B66:F66"/>
    <mergeCell ref="B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3"/>
  <sheetViews>
    <sheetView showGridLines="0" topLeftCell="D86" zoomScale="120" zoomScaleNormal="120" workbookViewId="0">
      <selection activeCell="I106" sqref="I106"/>
    </sheetView>
  </sheetViews>
  <sheetFormatPr baseColWidth="10" defaultColWidth="8.6640625" defaultRowHeight="16" x14ac:dyDescent="0.2"/>
  <cols>
    <col min="1" max="1" width="8.33203125" style="61" bestFit="1" customWidth="1"/>
    <col min="2" max="2" width="8" style="61" customWidth="1"/>
    <col min="3" max="6" width="16" style="61" customWidth="1"/>
    <col min="7" max="7" width="8.33203125" style="61" bestFit="1" customWidth="1"/>
    <col min="8" max="8" width="12.5" style="61" customWidth="1"/>
    <col min="9" max="9" width="64.83203125" style="61" customWidth="1"/>
    <col min="10" max="10" width="25.5" style="61" bestFit="1" customWidth="1"/>
    <col min="11" max="11" width="19.6640625" style="61" bestFit="1" customWidth="1"/>
    <col min="12" max="12" width="20.33203125" style="61" bestFit="1" customWidth="1"/>
    <col min="13" max="13" width="13.6640625" style="61" customWidth="1"/>
    <col min="14" max="14" width="15.83203125" style="61" customWidth="1"/>
    <col min="15" max="15" width="13.6640625" style="61" customWidth="1"/>
    <col min="16" max="16" width="18.33203125" style="61" customWidth="1"/>
    <col min="17" max="16384" width="8.6640625" style="61"/>
  </cols>
  <sheetData>
    <row r="1" spans="1:17" ht="16" customHeight="1" thickBot="1" x14ac:dyDescent="0.25">
      <c r="B1" s="134" t="s">
        <v>526</v>
      </c>
      <c r="C1" s="135">
        <v>0.95</v>
      </c>
      <c r="D1" s="134" t="s">
        <v>527</v>
      </c>
      <c r="E1" s="135">
        <v>0.7</v>
      </c>
      <c r="J1" s="65" t="s">
        <v>528</v>
      </c>
      <c r="K1" s="136">
        <f>CORREL('1.RETURNS'!D6:D254,'1.RETURNS'!D5:D253)</f>
        <v>-0.16792778713769543</v>
      </c>
      <c r="L1" s="137"/>
      <c r="M1" s="138" t="s">
        <v>529</v>
      </c>
      <c r="N1" s="139">
        <f>(1-SQRT(1-4*K1^2))/(2*K1)</f>
        <v>-0.17295084206025932</v>
      </c>
      <c r="O1" s="140"/>
      <c r="P1" s="141"/>
    </row>
    <row r="2" spans="1:17" ht="36" customHeight="1" thickBot="1" x14ac:dyDescent="0.25">
      <c r="B2" s="60" t="s">
        <v>530</v>
      </c>
      <c r="C2" s="69"/>
      <c r="D2" s="69"/>
      <c r="E2" s="69"/>
      <c r="F2" s="69"/>
      <c r="G2" s="70"/>
      <c r="H2" s="40"/>
      <c r="J2" s="142" t="s">
        <v>531</v>
      </c>
      <c r="K2" s="143"/>
      <c r="L2" s="144"/>
      <c r="M2" s="142" t="s">
        <v>532</v>
      </c>
      <c r="N2" s="143"/>
      <c r="O2" s="143"/>
      <c r="P2" s="144"/>
    </row>
    <row r="3" spans="1:17" s="71" customFormat="1" ht="32" customHeight="1" thickBot="1" x14ac:dyDescent="0.25">
      <c r="A3" s="145" t="s">
        <v>533</v>
      </c>
      <c r="B3" s="146" t="s">
        <v>490</v>
      </c>
      <c r="C3" s="73" t="s">
        <v>534</v>
      </c>
      <c r="D3" s="73" t="s">
        <v>535</v>
      </c>
      <c r="E3" s="73" t="s">
        <v>433</v>
      </c>
      <c r="F3" s="74" t="s">
        <v>536</v>
      </c>
      <c r="G3" s="75" t="s">
        <v>537</v>
      </c>
      <c r="H3" s="73" t="s">
        <v>538</v>
      </c>
      <c r="J3" s="147" t="s">
        <v>539</v>
      </c>
      <c r="K3" s="148" t="s">
        <v>540</v>
      </c>
      <c r="L3" s="148" t="s">
        <v>727</v>
      </c>
      <c r="M3" s="148" t="s">
        <v>541</v>
      </c>
      <c r="N3" s="148" t="s">
        <v>542</v>
      </c>
      <c r="O3" s="148" t="s">
        <v>543</v>
      </c>
      <c r="P3" s="149" t="s">
        <v>544</v>
      </c>
    </row>
    <row r="4" spans="1:17" ht="18" customHeight="1" x14ac:dyDescent="0.2">
      <c r="A4" s="150" t="s">
        <v>36</v>
      </c>
      <c r="B4" s="151">
        <f t="shared" ref="B4:B35" si="0">ROW()-3</f>
        <v>1</v>
      </c>
      <c r="C4" s="152">
        <f ca="1">_xlfn.NORM.INV(RAND(),0,1)</f>
        <v>-0.34384148197351289</v>
      </c>
      <c r="D4" s="152">
        <f ca="1">G4</f>
        <v>-0.20850132289221171</v>
      </c>
      <c r="E4" s="152">
        <f ca="1">_xlfn.NORM.INV(RAND(),0,1)</f>
        <v>1.2479159021289852</v>
      </c>
      <c r="F4" s="153" t="s">
        <v>36</v>
      </c>
      <c r="G4" s="154">
        <f t="shared" ref="G4:G35" ca="1" si="1">_xlfn.NORM.INV(RAND(),0,1)</f>
        <v>-0.20850132289221171</v>
      </c>
      <c r="H4" s="152">
        <f ca="1">G4</f>
        <v>-0.20850132289221171</v>
      </c>
      <c r="I4" s="155" t="s">
        <v>545</v>
      </c>
      <c r="J4" s="156">
        <f>'1.RETURNS'!D5*100</f>
        <v>0.58848723437282202</v>
      </c>
      <c r="K4" s="157" t="s">
        <v>36</v>
      </c>
      <c r="L4" s="157" t="s">
        <v>36</v>
      </c>
      <c r="M4" s="158">
        <f>J4</f>
        <v>0.58848723437282202</v>
      </c>
      <c r="N4" s="157" t="s">
        <v>36</v>
      </c>
      <c r="O4" s="158">
        <f>J4</f>
        <v>0.58848723437282202</v>
      </c>
      <c r="P4" s="159" t="s">
        <v>36</v>
      </c>
    </row>
    <row r="5" spans="1:17" ht="15.75" customHeight="1" x14ac:dyDescent="0.2">
      <c r="A5" s="160">
        <f t="shared" ref="A5:A36" ca="1" si="2">_xlfn.NORM.INV(RAND(),0,1)</f>
        <v>-1.2694067390701276</v>
      </c>
      <c r="B5" s="161">
        <f t="shared" si="0"/>
        <v>2</v>
      </c>
      <c r="C5" s="162">
        <f ca="1">$C$1*C4+A5</f>
        <v>-1.5960561469449648</v>
      </c>
      <c r="D5" s="162">
        <f t="shared" ref="D5:D36" ca="1" si="3">G5+$E$1*G4</f>
        <v>-0.81309840680823142</v>
      </c>
      <c r="E5" s="162">
        <f t="shared" ref="E5:E36" ca="1" si="4">E4+F5</f>
        <v>1.0909877676622655</v>
      </c>
      <c r="F5" s="163">
        <f t="shared" ref="F5:F36" ca="1" si="5">_xlfn.NORM.INV(RAND(),0,1)</f>
        <v>-0.1569281344667196</v>
      </c>
      <c r="G5" s="163">
        <f t="shared" ca="1" si="1"/>
        <v>-0.66714748078368324</v>
      </c>
      <c r="H5" s="162">
        <f t="shared" ref="H5:H36" ca="1" si="6">$C$1*H4+G5+$E$1*G4</f>
        <v>-1.0111746635558325</v>
      </c>
      <c r="I5" s="164" t="s">
        <v>546</v>
      </c>
      <c r="J5" s="61">
        <f>'1.RETURNS'!D6*100</f>
        <v>-0.12113657639155101</v>
      </c>
      <c r="K5" s="165">
        <f>$K$1*J4</f>
        <v>-9.8823359027010338E-2</v>
      </c>
      <c r="L5" s="165">
        <f t="shared" ref="L5:L36" si="7">J5-K5</f>
        <v>-2.2313217364540672E-2</v>
      </c>
      <c r="M5" s="162">
        <f>J5-$N$1*M4</f>
        <v>-1.9357213665058257E-2</v>
      </c>
      <c r="N5" s="162">
        <f>$N$1*M4</f>
        <v>-0.10177936272649275</v>
      </c>
      <c r="O5" s="162">
        <f t="shared" ref="O5:O36" si="8">J5-$K$1*J4-$N$1*O4</f>
        <v>7.9466145361952081E-2</v>
      </c>
      <c r="P5" s="162">
        <f>$K$1*J4+$N$1*O4</f>
        <v>-0.20060272175350308</v>
      </c>
    </row>
    <row r="6" spans="1:17" ht="15.75" customHeight="1" x14ac:dyDescent="0.2">
      <c r="A6" s="152">
        <f t="shared" ca="1" si="2"/>
        <v>-1.091757573702985</v>
      </c>
      <c r="B6" s="166">
        <f t="shared" si="0"/>
        <v>3</v>
      </c>
      <c r="C6" s="167">
        <f t="shared" ref="C5:C36" ca="1" si="9">$C$1*C5+A6</f>
        <v>-2.6080109133007014</v>
      </c>
      <c r="D6" s="167">
        <f t="shared" ca="1" si="3"/>
        <v>0.30876877531706715</v>
      </c>
      <c r="E6" s="167">
        <f t="shared" ca="1" si="4"/>
        <v>0.75367204084305328</v>
      </c>
      <c r="F6" s="168">
        <f t="shared" ca="1" si="5"/>
        <v>-0.33731572681921218</v>
      </c>
      <c r="G6" s="168">
        <f t="shared" ca="1" si="1"/>
        <v>0.77577201186564537</v>
      </c>
      <c r="H6" s="167">
        <f ca="1">$C$1*H5+G6+$E$1*G5</f>
        <v>-0.65184715506097368</v>
      </c>
      <c r="I6" s="169" t="s">
        <v>547</v>
      </c>
      <c r="J6" s="61">
        <f>'1.RETURNS'!D7*100</f>
        <v>0.66707917430471964</v>
      </c>
      <c r="K6" s="61">
        <f t="shared" ref="K5:K36" si="10">$K$1*J5</f>
        <v>2.0342197214869559E-2</v>
      </c>
      <c r="L6" s="61">
        <f t="shared" si="7"/>
        <v>0.64673697708985012</v>
      </c>
      <c r="M6" s="167">
        <f>J6-$N$1*M5</f>
        <v>0.66373132790140743</v>
      </c>
      <c r="N6" s="167">
        <f>$N$1*M5</f>
        <v>3.3478464033121838E-3</v>
      </c>
      <c r="O6" s="229">
        <f>J6-$K$1*J5-$N$1*O5</f>
        <v>0.66048071384548268</v>
      </c>
      <c r="P6" s="167">
        <f t="shared" ref="P5:P36" si="11">$K$1*J5+$N$1*O5</f>
        <v>6.5984604592369753E-3</v>
      </c>
      <c r="Q6" s="228">
        <f>J6-'5.ARIMA'!P6</f>
        <v>0.66048071384548268</v>
      </c>
    </row>
    <row r="7" spans="1:17" ht="15.75" customHeight="1" x14ac:dyDescent="0.2">
      <c r="A7" s="160">
        <f t="shared" ca="1" si="2"/>
        <v>-0.42388597745800932</v>
      </c>
      <c r="B7" s="161">
        <f t="shared" si="0"/>
        <v>4</v>
      </c>
      <c r="C7" s="162">
        <f t="shared" ca="1" si="9"/>
        <v>-2.9014963450936757</v>
      </c>
      <c r="D7" s="162">
        <f t="shared" ca="1" si="3"/>
        <v>0.61738419004822398</v>
      </c>
      <c r="E7" s="162">
        <f t="shared" ca="1" si="4"/>
        <v>0.33389595508613429</v>
      </c>
      <c r="F7" s="163">
        <f t="shared" ca="1" si="5"/>
        <v>-0.41977608575691899</v>
      </c>
      <c r="G7" s="163">
        <f t="shared" ca="1" si="1"/>
        <v>7.4343781742272325E-2</v>
      </c>
      <c r="H7" s="162">
        <f t="shared" ca="1" si="6"/>
        <v>-1.8706072597010071E-3</v>
      </c>
      <c r="I7" s="169" t="s">
        <v>548</v>
      </c>
      <c r="J7" s="61">
        <f>'1.RETURNS'!D8*100</f>
        <v>1.6065486617628961</v>
      </c>
      <c r="K7" s="61">
        <f t="shared" si="10"/>
        <v>-0.11202112958663259</v>
      </c>
      <c r="L7" s="61">
        <f>J7-K7</f>
        <v>1.7185697913495288</v>
      </c>
      <c r="M7" s="162">
        <f>J7-$N$1*M6</f>
        <v>1.7213415538252186</v>
      </c>
      <c r="N7" s="162">
        <f t="shared" ref="N5:N36" si="12">$N$1*M6</f>
        <v>-0.1147928920623225</v>
      </c>
      <c r="O7" s="162">
        <f t="shared" si="8"/>
        <v>1.8328004869736663</v>
      </c>
      <c r="P7" s="162">
        <f>$K$1*J6+$N$1*O6</f>
        <v>-0.22625182521076997</v>
      </c>
    </row>
    <row r="8" spans="1:17" ht="15.75" customHeight="1" x14ac:dyDescent="0.2">
      <c r="A8" s="152">
        <f t="shared" ca="1" si="2"/>
        <v>0.23633081510860987</v>
      </c>
      <c r="B8" s="166">
        <f t="shared" si="0"/>
        <v>5</v>
      </c>
      <c r="C8" s="167">
        <f t="shared" ca="1" si="9"/>
        <v>-2.520090712730382</v>
      </c>
      <c r="D8" s="167">
        <f t="shared" ca="1" si="3"/>
        <v>-0.57982611132905448</v>
      </c>
      <c r="E8" s="167">
        <f t="shared" ca="1" si="4"/>
        <v>-0.36314519494137903</v>
      </c>
      <c r="F8" s="168">
        <f t="shared" ca="1" si="5"/>
        <v>-0.69704115002751332</v>
      </c>
      <c r="G8" s="168">
        <f t="shared" ca="1" si="1"/>
        <v>-0.63186675854864516</v>
      </c>
      <c r="H8" s="167">
        <f t="shared" ca="1" si="6"/>
        <v>-0.5816031882257704</v>
      </c>
      <c r="I8" s="169" t="s">
        <v>549</v>
      </c>
      <c r="J8" s="61">
        <f>'1.RETURNS'!D9*100</f>
        <v>-0.24548761294726756</v>
      </c>
      <c r="K8" s="61">
        <f t="shared" si="10"/>
        <v>-0.2697841616988691</v>
      </c>
      <c r="L8" s="61">
        <f t="shared" si="7"/>
        <v>2.4296548751601532E-2</v>
      </c>
      <c r="M8" s="167">
        <f>J8-$N$1*M7</f>
        <v>5.2219858260119156E-2</v>
      </c>
      <c r="N8" s="167">
        <f t="shared" si="12"/>
        <v>-0.29770747120738672</v>
      </c>
      <c r="O8" s="167">
        <f t="shared" si="8"/>
        <v>0.34128093630215045</v>
      </c>
      <c r="P8" s="167">
        <f>$K$1*J7+$N$1*O7</f>
        <v>-0.58676854924941801</v>
      </c>
    </row>
    <row r="9" spans="1:17" ht="15.75" customHeight="1" x14ac:dyDescent="0.2">
      <c r="A9" s="160">
        <f t="shared" ca="1" si="2"/>
        <v>1.3786729677278646</v>
      </c>
      <c r="B9" s="161">
        <f t="shared" si="0"/>
        <v>6</v>
      </c>
      <c r="C9" s="162">
        <f t="shared" ca="1" si="9"/>
        <v>-1.0154132093659982</v>
      </c>
      <c r="D9" s="162">
        <f t="shared" ca="1" si="3"/>
        <v>-0.22768099947246104</v>
      </c>
      <c r="E9" s="162">
        <f t="shared" ca="1" si="4"/>
        <v>0.8298736760324148</v>
      </c>
      <c r="F9" s="163">
        <f t="shared" ca="1" si="5"/>
        <v>1.1930188709737939</v>
      </c>
      <c r="G9" s="163">
        <f t="shared" ca="1" si="1"/>
        <v>0.21462573151159056</v>
      </c>
      <c r="H9" s="162">
        <f t="shared" ca="1" si="6"/>
        <v>-0.78020402828694291</v>
      </c>
      <c r="I9" s="170" t="s">
        <v>550</v>
      </c>
      <c r="J9" s="61">
        <f>'1.RETURNS'!D10*100</f>
        <v>-0.20112502237132546</v>
      </c>
      <c r="K9" s="61">
        <f t="shared" si="10"/>
        <v>4.1224191611949713E-2</v>
      </c>
      <c r="L9" s="61">
        <f t="shared" si="7"/>
        <v>-0.24234921398327516</v>
      </c>
      <c r="M9" s="162">
        <f t="shared" ref="M5:M36" si="13">J9-$N$1*M8</f>
        <v>-0.19209355391297045</v>
      </c>
      <c r="N9" s="162">
        <f t="shared" si="12"/>
        <v>-9.0314684583549954E-3</v>
      </c>
      <c r="O9" s="162">
        <f t="shared" si="8"/>
        <v>-0.18332438867070452</v>
      </c>
      <c r="P9" s="162">
        <f t="shared" si="11"/>
        <v>-1.7800633700620933E-2</v>
      </c>
    </row>
    <row r="10" spans="1:17" ht="15.75" customHeight="1" thickBot="1" x14ac:dyDescent="0.25">
      <c r="A10" s="152">
        <f t="shared" ca="1" si="2"/>
        <v>-1.7162319501615451</v>
      </c>
      <c r="B10" s="166">
        <f t="shared" si="0"/>
        <v>7</v>
      </c>
      <c r="C10" s="167">
        <f t="shared" ca="1" si="9"/>
        <v>-2.6808744990592435</v>
      </c>
      <c r="D10" s="167">
        <f t="shared" ca="1" si="3"/>
        <v>-0.42288065167319289</v>
      </c>
      <c r="E10" s="167">
        <f t="shared" ca="1" si="4"/>
        <v>1.0368186852839394</v>
      </c>
      <c r="F10" s="168">
        <f t="shared" ca="1" si="5"/>
        <v>0.20694500925152456</v>
      </c>
      <c r="G10" s="168">
        <f t="shared" ca="1" si="1"/>
        <v>-0.57311866373130627</v>
      </c>
      <c r="H10" s="167">
        <f t="shared" ca="1" si="6"/>
        <v>-1.1640744785457886</v>
      </c>
      <c r="I10" s="101"/>
      <c r="J10" s="61">
        <f>'1.RETURNS'!D11*100</f>
        <v>1.5334302622674396</v>
      </c>
      <c r="K10" s="61">
        <f t="shared" si="10"/>
        <v>3.3774479944836171E-2</v>
      </c>
      <c r="L10" s="61">
        <f t="shared" si="7"/>
        <v>1.4996557823226035</v>
      </c>
      <c r="M10" s="167">
        <f t="shared" si="13"/>
        <v>1.5002075203638436</v>
      </c>
      <c r="N10" s="167">
        <f>$N$1*M9</f>
        <v>3.3222741903596059E-2</v>
      </c>
      <c r="O10" s="167">
        <f t="shared" si="8"/>
        <v>1.4679496749318228</v>
      </c>
      <c r="P10" s="167">
        <f t="shared" si="11"/>
        <v>6.5480587335616791E-2</v>
      </c>
    </row>
    <row r="11" spans="1:17" ht="18" customHeight="1" x14ac:dyDescent="0.2">
      <c r="A11" s="160">
        <f t="shared" ca="1" si="2"/>
        <v>-0.57312432186096274</v>
      </c>
      <c r="B11" s="161">
        <f t="shared" si="0"/>
        <v>8</v>
      </c>
      <c r="C11" s="162">
        <f t="shared" ca="1" si="9"/>
        <v>-3.119955095967244</v>
      </c>
      <c r="D11" s="162">
        <f t="shared" ca="1" si="3"/>
        <v>-1.3213293676772988</v>
      </c>
      <c r="E11" s="162">
        <f t="shared" ca="1" si="4"/>
        <v>1.4099151346874144</v>
      </c>
      <c r="F11" s="163">
        <f t="shared" ca="1" si="5"/>
        <v>0.37309644940347497</v>
      </c>
      <c r="G11" s="163">
        <f t="shared" ca="1" si="1"/>
        <v>-0.92014630306538447</v>
      </c>
      <c r="H11" s="162">
        <f t="shared" ca="1" si="6"/>
        <v>-2.4272001222957984</v>
      </c>
      <c r="I11" s="171" t="s">
        <v>551</v>
      </c>
      <c r="J11" s="61">
        <f>'1.RETURNS'!D12*100</f>
        <v>0.88748844487809753</v>
      </c>
      <c r="K11" s="61">
        <f t="shared" si="10"/>
        <v>-0.2575055506725471</v>
      </c>
      <c r="L11" s="61">
        <f t="shared" si="7"/>
        <v>1.1449939955506445</v>
      </c>
      <c r="M11" s="162">
        <f t="shared" si="13"/>
        <v>1.1469505987901578</v>
      </c>
      <c r="N11" s="162">
        <f>$N$1*M10</f>
        <v>-0.2594621539120604</v>
      </c>
      <c r="O11" s="162">
        <f t="shared" si="8"/>
        <v>1.3988771279321872</v>
      </c>
      <c r="P11" s="162">
        <f t="shared" si="11"/>
        <v>-0.5113886830540898</v>
      </c>
    </row>
    <row r="12" spans="1:17" ht="15.75" customHeight="1" x14ac:dyDescent="0.2">
      <c r="A12" s="152">
        <f t="shared" ca="1" si="2"/>
        <v>0.27117501064282951</v>
      </c>
      <c r="B12" s="166">
        <f t="shared" si="0"/>
        <v>9</v>
      </c>
      <c r="C12" s="167">
        <f t="shared" ca="1" si="9"/>
        <v>-2.6927823305260521</v>
      </c>
      <c r="D12" s="167">
        <f t="shared" ca="1" si="3"/>
        <v>-1.2866289099192387</v>
      </c>
      <c r="E12" s="167">
        <f t="shared" ca="1" si="4"/>
        <v>2.2251913677908099</v>
      </c>
      <c r="F12" s="168">
        <f t="shared" ca="1" si="5"/>
        <v>0.81527623310339559</v>
      </c>
      <c r="G12" s="168">
        <f t="shared" ca="1" si="1"/>
        <v>-0.6425264977734696</v>
      </c>
      <c r="H12" s="167">
        <f t="shared" ca="1" si="6"/>
        <v>-3.5924690261002472</v>
      </c>
      <c r="I12" s="164" t="s">
        <v>552</v>
      </c>
      <c r="J12" s="61">
        <f>'1.RETURNS'!D13*100</f>
        <v>-0.48215906453202134</v>
      </c>
      <c r="K12" s="61">
        <f t="shared" si="10"/>
        <v>-0.14903397065865351</v>
      </c>
      <c r="L12" s="61">
        <f t="shared" si="7"/>
        <v>-0.33312509387336786</v>
      </c>
      <c r="M12" s="167">
        <f t="shared" si="13"/>
        <v>-0.28379299266974489</v>
      </c>
      <c r="N12" s="167">
        <f t="shared" si="12"/>
        <v>-0.19836607186227645</v>
      </c>
      <c r="O12" s="167">
        <f t="shared" si="8"/>
        <v>-9.1188116658658974E-2</v>
      </c>
      <c r="P12" s="167">
        <f t="shared" si="11"/>
        <v>-0.3909709478733624</v>
      </c>
    </row>
    <row r="13" spans="1:17" ht="15.75" customHeight="1" x14ac:dyDescent="0.2">
      <c r="A13" s="160">
        <f t="shared" ca="1" si="2"/>
        <v>9.9459565842532224E-2</v>
      </c>
      <c r="B13" s="161">
        <f t="shared" si="0"/>
        <v>10</v>
      </c>
      <c r="C13" s="162">
        <f t="shared" ca="1" si="9"/>
        <v>-2.458683648157217</v>
      </c>
      <c r="D13" s="162">
        <f t="shared" ca="1" si="3"/>
        <v>-2.0983315990623455</v>
      </c>
      <c r="E13" s="162">
        <f t="shared" ca="1" si="4"/>
        <v>0.83744535862467084</v>
      </c>
      <c r="F13" s="163">
        <f t="shared" ca="1" si="5"/>
        <v>-1.3877460091661391</v>
      </c>
      <c r="G13" s="163">
        <f t="shared" ca="1" si="1"/>
        <v>-1.6485630506209166</v>
      </c>
      <c r="H13" s="162">
        <f t="shared" ca="1" si="6"/>
        <v>-5.5111771738575799</v>
      </c>
      <c r="I13" s="172" t="s">
        <v>553</v>
      </c>
      <c r="J13" s="61">
        <f>'1.RETURNS'!D14*100</f>
        <v>0.55124296395039873</v>
      </c>
      <c r="K13" s="61">
        <f t="shared" si="10"/>
        <v>8.0967904755243639E-2</v>
      </c>
      <c r="L13" s="61">
        <f t="shared" si="7"/>
        <v>0.47027505919515511</v>
      </c>
      <c r="M13" s="162">
        <f t="shared" si="13"/>
        <v>0.50216072689736535</v>
      </c>
      <c r="N13" s="162">
        <f t="shared" si="12"/>
        <v>4.9082237053033377E-2</v>
      </c>
      <c r="O13" s="162">
        <f t="shared" si="8"/>
        <v>0.45450399763315086</v>
      </c>
      <c r="P13" s="162">
        <f t="shared" si="11"/>
        <v>9.6738966317247876E-2</v>
      </c>
    </row>
    <row r="14" spans="1:17" ht="15.75" customHeight="1" x14ac:dyDescent="0.2">
      <c r="A14" s="152">
        <f t="shared" ca="1" si="2"/>
        <v>-0.13334775229841381</v>
      </c>
      <c r="B14" s="166">
        <f t="shared" si="0"/>
        <v>11</v>
      </c>
      <c r="C14" s="167">
        <f t="shared" ca="1" si="9"/>
        <v>-2.4690972180477697</v>
      </c>
      <c r="D14" s="167">
        <f t="shared" ca="1" si="3"/>
        <v>-0.19202373470165635</v>
      </c>
      <c r="E14" s="167">
        <f t="shared" ca="1" si="4"/>
        <v>1.1382691127210387</v>
      </c>
      <c r="F14" s="168">
        <f t="shared" ca="1" si="5"/>
        <v>0.30082375409636786</v>
      </c>
      <c r="G14" s="168">
        <f t="shared" ca="1" si="1"/>
        <v>0.96197040073298512</v>
      </c>
      <c r="H14" s="167">
        <f t="shared" ca="1" si="6"/>
        <v>-5.427642049866356</v>
      </c>
      <c r="I14" s="164" t="s">
        <v>554</v>
      </c>
      <c r="J14" s="61">
        <f>'1.RETURNS'!D15*100</f>
        <v>-0.42904899245061812</v>
      </c>
      <c r="K14" s="61">
        <f t="shared" si="10"/>
        <v>-9.256901111141487E-2</v>
      </c>
      <c r="L14" s="61">
        <f t="shared" si="7"/>
        <v>-0.33647998133920326</v>
      </c>
      <c r="M14" s="167">
        <f t="shared" si="13"/>
        <v>-0.34219987188412687</v>
      </c>
      <c r="N14" s="167">
        <f t="shared" si="12"/>
        <v>-8.6849120566491245E-2</v>
      </c>
      <c r="O14" s="167">
        <f t="shared" si="8"/>
        <v>-0.25787313222879571</v>
      </c>
      <c r="P14" s="167">
        <f t="shared" si="11"/>
        <v>-0.17117586022182241</v>
      </c>
    </row>
    <row r="15" spans="1:17" ht="22" customHeight="1" x14ac:dyDescent="0.2">
      <c r="A15" s="160">
        <f t="shared" ca="1" si="2"/>
        <v>-0.34291638952732212</v>
      </c>
      <c r="B15" s="161">
        <f t="shared" si="0"/>
        <v>12</v>
      </c>
      <c r="C15" s="162">
        <f t="shared" ca="1" si="9"/>
        <v>-2.6885587466727032</v>
      </c>
      <c r="D15" s="162">
        <f t="shared" ca="1" si="3"/>
        <v>-0.15282932209240385</v>
      </c>
      <c r="E15" s="162">
        <f t="shared" ca="1" si="4"/>
        <v>1.4377766018849867</v>
      </c>
      <c r="F15" s="163">
        <f t="shared" ca="1" si="5"/>
        <v>0.29950748916394793</v>
      </c>
      <c r="G15" s="163">
        <f t="shared" ca="1" si="1"/>
        <v>-0.82620860260549345</v>
      </c>
      <c r="H15" s="162">
        <f t="shared" ca="1" si="6"/>
        <v>-5.3090892694654421</v>
      </c>
      <c r="I15" s="41" t="s">
        <v>555</v>
      </c>
      <c r="J15" s="61">
        <f>'1.RETURNS'!D16*100</f>
        <v>-0.42128306139583027</v>
      </c>
      <c r="K15" s="61">
        <f t="shared" si="10"/>
        <v>7.2049247875890093E-2</v>
      </c>
      <c r="L15" s="61">
        <f t="shared" si="7"/>
        <v>-0.49333230927172034</v>
      </c>
      <c r="M15" s="162">
        <f t="shared" si="13"/>
        <v>-0.48046681739110286</v>
      </c>
      <c r="N15" s="162">
        <f t="shared" si="12"/>
        <v>5.9183755995272598E-2</v>
      </c>
      <c r="O15" s="162">
        <f t="shared" si="8"/>
        <v>-0.53793168463540719</v>
      </c>
      <c r="P15" s="162">
        <f t="shared" si="11"/>
        <v>0.11664862323957691</v>
      </c>
    </row>
    <row r="16" spans="1:17" ht="15.75" customHeight="1" x14ac:dyDescent="0.2">
      <c r="A16" s="152">
        <f t="shared" ca="1" si="2"/>
        <v>-0.55069571915381388</v>
      </c>
      <c r="B16" s="166">
        <f t="shared" si="0"/>
        <v>13</v>
      </c>
      <c r="C16" s="167">
        <f t="shared" ca="1" si="9"/>
        <v>-3.104826528492882</v>
      </c>
      <c r="D16" s="167">
        <f t="shared" ca="1" si="3"/>
        <v>-0.66031733377552204</v>
      </c>
      <c r="E16" s="167">
        <f t="shared" ca="1" si="4"/>
        <v>0.55617919529839499</v>
      </c>
      <c r="F16" s="168">
        <f t="shared" ca="1" si="5"/>
        <v>-0.88159740658659169</v>
      </c>
      <c r="G16" s="168">
        <f t="shared" ca="1" si="1"/>
        <v>-8.197131195167659E-2</v>
      </c>
      <c r="H16" s="167">
        <f t="shared" ca="1" si="6"/>
        <v>-5.7039521397676918</v>
      </c>
      <c r="I16" s="169" t="s">
        <v>556</v>
      </c>
      <c r="J16" s="61">
        <f>'1.RETURNS'!D17*100</f>
        <v>0.2596741771265631</v>
      </c>
      <c r="K16" s="61">
        <f t="shared" si="10"/>
        <v>7.0745132258795668E-2</v>
      </c>
      <c r="L16" s="61">
        <f t="shared" si="7"/>
        <v>0.18892904486776743</v>
      </c>
      <c r="M16" s="167">
        <f t="shared" si="13"/>
        <v>0.17657703647675901</v>
      </c>
      <c r="N16" s="167">
        <f t="shared" si="12"/>
        <v>8.3097140649804085E-2</v>
      </c>
      <c r="O16" s="167">
        <f t="shared" si="8"/>
        <v>9.5893307039179893E-2</v>
      </c>
      <c r="P16" s="167">
        <f t="shared" si="11"/>
        <v>0.16378087008738321</v>
      </c>
    </row>
    <row r="17" spans="1:16" ht="15.75" customHeight="1" x14ac:dyDescent="0.2">
      <c r="A17" s="160">
        <f t="shared" ca="1" si="2"/>
        <v>-0.78137755949822518</v>
      </c>
      <c r="B17" s="161">
        <f t="shared" si="0"/>
        <v>14</v>
      </c>
      <c r="C17" s="162">
        <f t="shared" ca="1" si="9"/>
        <v>-3.7309627615664627</v>
      </c>
      <c r="D17" s="162">
        <f t="shared" ca="1" si="3"/>
        <v>-4.0904510089607327E-2</v>
      </c>
      <c r="E17" s="162">
        <f t="shared" ca="1" si="4"/>
        <v>0.44982235103462304</v>
      </c>
      <c r="F17" s="163">
        <f t="shared" ca="1" si="5"/>
        <v>-0.10635684426377195</v>
      </c>
      <c r="G17" s="163">
        <f t="shared" ca="1" si="1"/>
        <v>1.6475408276566284E-2</v>
      </c>
      <c r="H17" s="162">
        <f t="shared" ca="1" si="6"/>
        <v>-5.459659042868914</v>
      </c>
      <c r="I17" s="164" t="s">
        <v>557</v>
      </c>
      <c r="J17" s="61">
        <f>'1.RETURNS'!D18*100</f>
        <v>-1.9171552133154184</v>
      </c>
      <c r="K17" s="61">
        <f t="shared" si="10"/>
        <v>-4.3606509941665705E-2</v>
      </c>
      <c r="L17" s="61">
        <f t="shared" si="7"/>
        <v>-1.8735487033737526</v>
      </c>
      <c r="M17" s="162">
        <f t="shared" si="13"/>
        <v>-1.8866160661682578</v>
      </c>
      <c r="N17" s="162">
        <f t="shared" si="12"/>
        <v>-3.0539147147160595E-2</v>
      </c>
      <c r="O17" s="162">
        <f t="shared" si="8"/>
        <v>-1.8569638751733835</v>
      </c>
      <c r="P17" s="162">
        <f t="shared" si="11"/>
        <v>-6.019133814203486E-2</v>
      </c>
    </row>
    <row r="18" spans="1:16" ht="15.75" customHeight="1" x14ac:dyDescent="0.2">
      <c r="A18" s="152">
        <f t="shared" ca="1" si="2"/>
        <v>1.614258152523671</v>
      </c>
      <c r="B18" s="166">
        <f t="shared" si="0"/>
        <v>15</v>
      </c>
      <c r="C18" s="167">
        <f t="shared" ca="1" si="9"/>
        <v>-1.9301564709644685</v>
      </c>
      <c r="D18" s="167">
        <f t="shared" ca="1" si="3"/>
        <v>0.21319264488113543</v>
      </c>
      <c r="E18" s="167">
        <f t="shared" ca="1" si="4"/>
        <v>-0.27104339595042465</v>
      </c>
      <c r="F18" s="168">
        <f t="shared" ca="1" si="5"/>
        <v>-0.72086574698504768</v>
      </c>
      <c r="G18" s="168">
        <f t="shared" ca="1" si="1"/>
        <v>0.20165985908753903</v>
      </c>
      <c r="H18" s="167">
        <f t="shared" ca="1" si="6"/>
        <v>-4.9734834458443329</v>
      </c>
      <c r="I18" s="164" t="s">
        <v>558</v>
      </c>
      <c r="J18" s="61">
        <f>'1.RETURNS'!D19*100</f>
        <v>-2.0470411829203212</v>
      </c>
      <c r="K18" s="61">
        <f t="shared" si="10"/>
        <v>0.32194363257155467</v>
      </c>
      <c r="L18" s="61">
        <f t="shared" si="7"/>
        <v>-2.368984815491876</v>
      </c>
      <c r="M18" s="167">
        <f t="shared" si="13"/>
        <v>-2.3733330202085354</v>
      </c>
      <c r="N18" s="167">
        <f t="shared" si="12"/>
        <v>0.32629183728821409</v>
      </c>
      <c r="O18" s="167">
        <f t="shared" si="8"/>
        <v>-2.6901482813785949</v>
      </c>
      <c r="P18" s="167">
        <f t="shared" si="11"/>
        <v>0.64310709845827363</v>
      </c>
    </row>
    <row r="19" spans="1:16" ht="15.75" customHeight="1" x14ac:dyDescent="0.2">
      <c r="A19" s="160">
        <f t="shared" ca="1" si="2"/>
        <v>1.2444161731079735</v>
      </c>
      <c r="B19" s="161">
        <f t="shared" si="0"/>
        <v>16</v>
      </c>
      <c r="C19" s="162">
        <f t="shared" ca="1" si="9"/>
        <v>-0.58923247430827153</v>
      </c>
      <c r="D19" s="162">
        <f t="shared" ca="1" si="3"/>
        <v>0.23847845231740628</v>
      </c>
      <c r="E19" s="162">
        <f t="shared" ca="1" si="4"/>
        <v>1.3712497081307373</v>
      </c>
      <c r="F19" s="163">
        <f t="shared" ca="1" si="5"/>
        <v>1.6422931040811619</v>
      </c>
      <c r="G19" s="163">
        <f t="shared" ca="1" si="1"/>
        <v>9.7316550956128955E-2</v>
      </c>
      <c r="H19" s="162">
        <f t="shared" ca="1" si="6"/>
        <v>-4.4863308212347093</v>
      </c>
      <c r="I19" s="164" t="s">
        <v>559</v>
      </c>
      <c r="J19" s="61">
        <f>'1.RETURNS'!D20*100</f>
        <v>-0.64772079169447583</v>
      </c>
      <c r="K19" s="61">
        <f t="shared" si="10"/>
        <v>0.34375509602753995</v>
      </c>
      <c r="L19" s="61">
        <f t="shared" si="7"/>
        <v>-0.99147588772201578</v>
      </c>
      <c r="M19" s="162">
        <f t="shared" si="13"/>
        <v>-1.0581907360289604</v>
      </c>
      <c r="N19" s="162">
        <f t="shared" si="12"/>
        <v>0.41046994433448464</v>
      </c>
      <c r="O19" s="162">
        <f t="shared" si="8"/>
        <v>-1.4567392982534031</v>
      </c>
      <c r="P19" s="162">
        <f t="shared" si="11"/>
        <v>0.80901850655892737</v>
      </c>
    </row>
    <row r="20" spans="1:16" ht="15.75" customHeight="1" thickBot="1" x14ac:dyDescent="0.25">
      <c r="A20" s="152">
        <f t="shared" ca="1" si="2"/>
        <v>0.36738544575846321</v>
      </c>
      <c r="B20" s="166">
        <f t="shared" si="0"/>
        <v>17</v>
      </c>
      <c r="C20" s="167">
        <f t="shared" ca="1" si="9"/>
        <v>-0.1923854048343947</v>
      </c>
      <c r="D20" s="167">
        <f t="shared" ca="1" si="3"/>
        <v>0.51097909420440801</v>
      </c>
      <c r="E20" s="167">
        <f t="shared" ca="1" si="4"/>
        <v>1.6271122859499605</v>
      </c>
      <c r="F20" s="168">
        <f t="shared" ca="1" si="5"/>
        <v>0.25586257781922317</v>
      </c>
      <c r="G20" s="168">
        <f t="shared" ca="1" si="1"/>
        <v>0.44285750853511774</v>
      </c>
      <c r="H20" s="167">
        <f t="shared" ca="1" si="6"/>
        <v>-3.7510351859685658</v>
      </c>
      <c r="I20" s="101"/>
      <c r="J20" s="61">
        <f>'1.RETURNS'!D21*100</f>
        <v>-0.97974154406534675</v>
      </c>
      <c r="K20" s="61">
        <f t="shared" si="10"/>
        <v>0.10877031923232951</v>
      </c>
      <c r="L20" s="61">
        <f t="shared" si="7"/>
        <v>-1.0885118632976762</v>
      </c>
      <c r="M20" s="167">
        <f t="shared" si="13"/>
        <v>-1.162756522921921</v>
      </c>
      <c r="N20" s="167">
        <f t="shared" si="12"/>
        <v>0.18301497885657428</v>
      </c>
      <c r="O20" s="167">
        <f t="shared" si="8"/>
        <v>-1.3404561515928735</v>
      </c>
      <c r="P20" s="167">
        <f t="shared" si="11"/>
        <v>0.36071460752752682</v>
      </c>
    </row>
    <row r="21" spans="1:16" ht="18" customHeight="1" x14ac:dyDescent="0.2">
      <c r="A21" s="160">
        <f t="shared" ca="1" si="2"/>
        <v>-0.25991807088252517</v>
      </c>
      <c r="B21" s="161">
        <f t="shared" si="0"/>
        <v>18</v>
      </c>
      <c r="C21" s="162">
        <f t="shared" ca="1" si="9"/>
        <v>-0.44268420547520015</v>
      </c>
      <c r="D21" s="162">
        <f t="shared" ca="1" si="3"/>
        <v>0.72194793021928794</v>
      </c>
      <c r="E21" s="162">
        <f t="shared" ca="1" si="4"/>
        <v>1.8562381079488774</v>
      </c>
      <c r="F21" s="163">
        <f t="shared" ca="1" si="5"/>
        <v>0.22912582199891704</v>
      </c>
      <c r="G21" s="163">
        <f t="shared" ca="1" si="1"/>
        <v>0.41194767424470558</v>
      </c>
      <c r="H21" s="162">
        <f t="shared" ca="1" si="6"/>
        <v>-2.8415354964508492</v>
      </c>
      <c r="I21" s="171" t="s">
        <v>560</v>
      </c>
      <c r="J21" s="61">
        <f>'1.RETURNS'!D22*100</f>
        <v>0.36193332840726677</v>
      </c>
      <c r="K21" s="61">
        <f t="shared" si="10"/>
        <v>0.16452582946176261</v>
      </c>
      <c r="L21" s="61">
        <f t="shared" si="7"/>
        <v>0.19740749894550416</v>
      </c>
      <c r="M21" s="162">
        <f t="shared" si="13"/>
        <v>0.16083360865686133</v>
      </c>
      <c r="N21" s="162">
        <f t="shared" si="12"/>
        <v>0.20109971975040544</v>
      </c>
      <c r="O21" s="162">
        <f t="shared" si="8"/>
        <v>-3.4425521217337912E-2</v>
      </c>
      <c r="P21" s="162">
        <f t="shared" si="11"/>
        <v>0.39635884962460466</v>
      </c>
    </row>
    <row r="22" spans="1:16" ht="15.75" customHeight="1" x14ac:dyDescent="0.2">
      <c r="A22" s="152">
        <f t="shared" ca="1" si="2"/>
        <v>-0.7340604771711825</v>
      </c>
      <c r="B22" s="166">
        <f t="shared" si="0"/>
        <v>19</v>
      </c>
      <c r="C22" s="167">
        <f t="shared" ca="1" si="9"/>
        <v>-1.1546104723726227</v>
      </c>
      <c r="D22" s="167">
        <f t="shared" ca="1" si="3"/>
        <v>0.53769054430158225</v>
      </c>
      <c r="E22" s="167">
        <f t="shared" ca="1" si="4"/>
        <v>2.4329260971358906</v>
      </c>
      <c r="F22" s="168">
        <f t="shared" ca="1" si="5"/>
        <v>0.57668798918701292</v>
      </c>
      <c r="G22" s="168">
        <f t="shared" ca="1" si="1"/>
        <v>0.24932717233028845</v>
      </c>
      <c r="H22" s="167">
        <f t="shared" ca="1" si="6"/>
        <v>-2.1617681773267248</v>
      </c>
      <c r="I22" s="164" t="s">
        <v>561</v>
      </c>
      <c r="J22" s="61">
        <f>'1.RETURNS'!D23*100</f>
        <v>-0.87524506038356797</v>
      </c>
      <c r="K22" s="61">
        <f t="shared" si="10"/>
        <v>-6.0778662930813111E-2</v>
      </c>
      <c r="L22" s="61">
        <f t="shared" si="7"/>
        <v>-0.81446639745275484</v>
      </c>
      <c r="M22" s="167">
        <f t="shared" si="13"/>
        <v>-0.84742875233477355</v>
      </c>
      <c r="N22" s="167">
        <f t="shared" si="12"/>
        <v>-2.781630804879438E-2</v>
      </c>
      <c r="O22" s="167">
        <f t="shared" si="8"/>
        <v>-0.82042032033565671</v>
      </c>
      <c r="P22" s="167">
        <f t="shared" si="11"/>
        <v>-5.48247400479112E-2</v>
      </c>
    </row>
    <row r="23" spans="1:16" ht="15.75" customHeight="1" x14ac:dyDescent="0.2">
      <c r="A23" s="160">
        <f t="shared" ca="1" si="2"/>
        <v>0.15752506369217578</v>
      </c>
      <c r="B23" s="161">
        <f t="shared" si="0"/>
        <v>20</v>
      </c>
      <c r="C23" s="162">
        <f t="shared" ca="1" si="9"/>
        <v>-0.93935488506181575</v>
      </c>
      <c r="D23" s="162">
        <f t="shared" ca="1" si="3"/>
        <v>-0.26141868852415756</v>
      </c>
      <c r="E23" s="162">
        <f t="shared" ca="1" si="4"/>
        <v>2.8571090795138203</v>
      </c>
      <c r="F23" s="163">
        <f t="shared" ca="1" si="5"/>
        <v>0.42418298237792956</v>
      </c>
      <c r="G23" s="163">
        <f t="shared" ca="1" si="1"/>
        <v>-0.43594770915535946</v>
      </c>
      <c r="H23" s="162">
        <f t="shared" ca="1" si="6"/>
        <v>-2.3150984569845461</v>
      </c>
      <c r="I23" s="172" t="s">
        <v>562</v>
      </c>
      <c r="J23" s="61">
        <f>'1.RETURNS'!D24*100</f>
        <v>-1.4251166520256224</v>
      </c>
      <c r="K23" s="61">
        <f t="shared" si="10"/>
        <v>0.14697796619341119</v>
      </c>
      <c r="L23" s="61">
        <f t="shared" si="7"/>
        <v>-1.5720946182190336</v>
      </c>
      <c r="M23" s="162">
        <f t="shared" si="13"/>
        <v>-1.5716801683279964</v>
      </c>
      <c r="N23" s="162">
        <f t="shared" si="12"/>
        <v>0.14656351630237402</v>
      </c>
      <c r="O23" s="162">
        <f t="shared" si="8"/>
        <v>-1.7139870034644331</v>
      </c>
      <c r="P23" s="162">
        <f t="shared" si="11"/>
        <v>0.28887035143881068</v>
      </c>
    </row>
    <row r="24" spans="1:16" ht="15.75" customHeight="1" x14ac:dyDescent="0.2">
      <c r="A24" s="152">
        <f t="shared" ca="1" si="2"/>
        <v>2.0435960202337083E-3</v>
      </c>
      <c r="B24" s="166">
        <f t="shared" si="0"/>
        <v>21</v>
      </c>
      <c r="C24" s="167">
        <f t="shared" ca="1" si="9"/>
        <v>-0.8903435447884912</v>
      </c>
      <c r="D24" s="167">
        <f t="shared" ca="1" si="3"/>
        <v>-0.19252910877092072</v>
      </c>
      <c r="E24" s="167">
        <f t="shared" ca="1" si="4"/>
        <v>2.6923862969782233</v>
      </c>
      <c r="F24" s="168">
        <f t="shared" ca="1" si="5"/>
        <v>-0.16472278253559722</v>
      </c>
      <c r="G24" s="168">
        <f t="shared" ca="1" si="1"/>
        <v>0.11263428763783091</v>
      </c>
      <c r="H24" s="167">
        <f t="shared" ca="1" si="6"/>
        <v>-2.3918726429062391</v>
      </c>
      <c r="I24" s="164" t="s">
        <v>563</v>
      </c>
      <c r="J24" s="61">
        <f>'1.RETURNS'!D25*100</f>
        <v>1.6633480164295882</v>
      </c>
      <c r="K24" s="61">
        <f t="shared" si="10"/>
        <v>0.2393166857877439</v>
      </c>
      <c r="L24" s="61">
        <f t="shared" si="7"/>
        <v>1.4240313306418444</v>
      </c>
      <c r="M24" s="167">
        <f t="shared" si="13"/>
        <v>1.3915246078678511</v>
      </c>
      <c r="N24" s="167">
        <f t="shared" si="12"/>
        <v>0.27182340856173709</v>
      </c>
      <c r="O24" s="167">
        <f t="shared" si="8"/>
        <v>1.1275958351123301</v>
      </c>
      <c r="P24" s="167">
        <f t="shared" si="11"/>
        <v>0.53575218131725821</v>
      </c>
    </row>
    <row r="25" spans="1:16" ht="22" customHeight="1" x14ac:dyDescent="0.2">
      <c r="A25" s="160">
        <f t="shared" ca="1" si="2"/>
        <v>0.70367625273865542</v>
      </c>
      <c r="B25" s="161">
        <f t="shared" si="0"/>
        <v>22</v>
      </c>
      <c r="C25" s="162">
        <f t="shared" ca="1" si="9"/>
        <v>-0.14215011481041118</v>
      </c>
      <c r="D25" s="162">
        <f t="shared" ca="1" si="3"/>
        <v>0.10436858375366881</v>
      </c>
      <c r="E25" s="162">
        <f t="shared" ca="1" si="4"/>
        <v>1.4931956437639784</v>
      </c>
      <c r="F25" s="163">
        <f t="shared" ca="1" si="5"/>
        <v>-1.1991906532142449</v>
      </c>
      <c r="G25" s="163">
        <f t="shared" ca="1" si="1"/>
        <v>2.552458240718717E-2</v>
      </c>
      <c r="H25" s="162">
        <f t="shared" ca="1" si="6"/>
        <v>-2.167910427007258</v>
      </c>
      <c r="I25" s="41" t="s">
        <v>564</v>
      </c>
      <c r="J25" s="61">
        <f>'1.RETURNS'!D26*100</f>
        <v>-0.23279526462302333</v>
      </c>
      <c r="K25" s="61">
        <f t="shared" si="10"/>
        <v>-0.27932235163889579</v>
      </c>
      <c r="L25" s="61">
        <f t="shared" si="7"/>
        <v>4.6527087015872465E-2</v>
      </c>
      <c r="M25" s="162">
        <f t="shared" si="13"/>
        <v>7.8700880552936836E-3</v>
      </c>
      <c r="N25" s="162">
        <f t="shared" si="12"/>
        <v>-0.24066535267831701</v>
      </c>
      <c r="O25" s="162">
        <f t="shared" si="8"/>
        <v>0.24154573620219127</v>
      </c>
      <c r="P25" s="162">
        <f t="shared" si="11"/>
        <v>-0.47434100082521458</v>
      </c>
    </row>
    <row r="26" spans="1:16" ht="15.75" customHeight="1" x14ac:dyDescent="0.2">
      <c r="A26" s="152">
        <f t="shared" ca="1" si="2"/>
        <v>9.7745077371619804E-2</v>
      </c>
      <c r="B26" s="166">
        <f t="shared" si="0"/>
        <v>23</v>
      </c>
      <c r="C26" s="167">
        <f t="shared" ca="1" si="9"/>
        <v>-3.7297531698270797E-2</v>
      </c>
      <c r="D26" s="167">
        <f t="shared" ca="1" si="3"/>
        <v>0.56228399424779729</v>
      </c>
      <c r="E26" s="167">
        <f t="shared" ca="1" si="4"/>
        <v>1.6501405717732265</v>
      </c>
      <c r="F26" s="168">
        <f t="shared" ca="1" si="5"/>
        <v>0.15694492800924803</v>
      </c>
      <c r="G26" s="168">
        <f t="shared" ca="1" si="1"/>
        <v>0.54441678656276626</v>
      </c>
      <c r="H26" s="167">
        <f t="shared" ca="1" si="6"/>
        <v>-1.4972309114090976</v>
      </c>
      <c r="I26" s="169" t="s">
        <v>565</v>
      </c>
      <c r="J26" s="61">
        <f>'1.RETURNS'!D27*100</f>
        <v>9.3726235716231551E-2</v>
      </c>
      <c r="K26" s="61">
        <f t="shared" si="10"/>
        <v>3.9092793644278541E-2</v>
      </c>
      <c r="L26" s="61">
        <f t="shared" si="7"/>
        <v>5.463344207195301E-2</v>
      </c>
      <c r="M26" s="167">
        <f t="shared" si="13"/>
        <v>9.508737407248298E-2</v>
      </c>
      <c r="N26" s="167">
        <f t="shared" si="12"/>
        <v>-1.3611383562514314E-3</v>
      </c>
      <c r="O26" s="167">
        <f t="shared" si="8"/>
        <v>9.6408980544187256E-2</v>
      </c>
      <c r="P26" s="167">
        <f t="shared" si="11"/>
        <v>-2.6827448279557048E-3</v>
      </c>
    </row>
    <row r="27" spans="1:16" ht="15.75" customHeight="1" x14ac:dyDescent="0.2">
      <c r="A27" s="160">
        <f t="shared" ca="1" si="2"/>
        <v>0.5953186814476209</v>
      </c>
      <c r="B27" s="161">
        <f t="shared" si="0"/>
        <v>24</v>
      </c>
      <c r="C27" s="162">
        <f t="shared" ca="1" si="9"/>
        <v>0.55988602633426365</v>
      </c>
      <c r="D27" s="162">
        <f t="shared" ca="1" si="3"/>
        <v>-0.88451142045347186</v>
      </c>
      <c r="E27" s="162">
        <f t="shared" ca="1" si="4"/>
        <v>1.8611611918171653</v>
      </c>
      <c r="F27" s="163">
        <f t="shared" ca="1" si="5"/>
        <v>0.21102062004393884</v>
      </c>
      <c r="G27" s="163">
        <f t="shared" ca="1" si="1"/>
        <v>-1.2656031710474083</v>
      </c>
      <c r="H27" s="162">
        <f t="shared" ca="1" si="6"/>
        <v>-2.3068807862921146</v>
      </c>
      <c r="I27" s="164" t="s">
        <v>566</v>
      </c>
      <c r="J27" s="61">
        <f>'1.RETURNS'!D28*100</f>
        <v>-1.3635751621641814</v>
      </c>
      <c r="K27" s="61">
        <f t="shared" si="10"/>
        <v>-1.5739239360572799E-2</v>
      </c>
      <c r="L27" s="61">
        <f t="shared" si="7"/>
        <v>-1.3478359228036085</v>
      </c>
      <c r="M27" s="162">
        <f t="shared" si="13"/>
        <v>-1.3471297207490467</v>
      </c>
      <c r="N27" s="162">
        <f t="shared" si="12"/>
        <v>-1.64454414151348E-2</v>
      </c>
      <c r="O27" s="162">
        <f t="shared" si="8"/>
        <v>-1.3311619084363202</v>
      </c>
      <c r="P27" s="162">
        <f t="shared" si="11"/>
        <v>-3.2413253727861142E-2</v>
      </c>
    </row>
    <row r="28" spans="1:16" ht="15.75" customHeight="1" x14ac:dyDescent="0.2">
      <c r="A28" s="152">
        <f t="shared" ca="1" si="2"/>
        <v>-1.2092017256830463</v>
      </c>
      <c r="B28" s="166">
        <f t="shared" si="0"/>
        <v>25</v>
      </c>
      <c r="C28" s="167">
        <f t="shared" ca="1" si="9"/>
        <v>-0.67731000066549585</v>
      </c>
      <c r="D28" s="167">
        <f t="shared" ca="1" si="3"/>
        <v>0.78078352027957454</v>
      </c>
      <c r="E28" s="167">
        <f t="shared" ca="1" si="4"/>
        <v>1.4742377242893219</v>
      </c>
      <c r="F28" s="168">
        <f t="shared" ca="1" si="5"/>
        <v>-0.38692346752784351</v>
      </c>
      <c r="G28" s="168">
        <f t="shared" ca="1" si="1"/>
        <v>1.6667057400127603</v>
      </c>
      <c r="H28" s="167">
        <f t="shared" ca="1" si="6"/>
        <v>-1.4107532266979343</v>
      </c>
      <c r="I28" s="164" t="s">
        <v>567</v>
      </c>
      <c r="J28" s="61">
        <f>'1.RETURNS'!D29*100</f>
        <v>-0.55921391318446878</v>
      </c>
      <c r="K28" s="61">
        <f t="shared" si="10"/>
        <v>0.22898215957815518</v>
      </c>
      <c r="L28" s="61">
        <f t="shared" si="7"/>
        <v>-0.78819607276262393</v>
      </c>
      <c r="M28" s="167">
        <f t="shared" si="13"/>
        <v>-0.79220113275241844</v>
      </c>
      <c r="N28" s="167">
        <f t="shared" si="12"/>
        <v>0.23298721956794963</v>
      </c>
      <c r="O28" s="167">
        <f t="shared" si="8"/>
        <v>-1.0184216457452273</v>
      </c>
      <c r="P28" s="167">
        <f t="shared" si="11"/>
        <v>0.45920773256075859</v>
      </c>
    </row>
    <row r="29" spans="1:16" ht="15.75" customHeight="1" x14ac:dyDescent="0.2">
      <c r="A29" s="160">
        <f t="shared" ca="1" si="2"/>
        <v>-2.623218786102675</v>
      </c>
      <c r="B29" s="161">
        <f t="shared" si="0"/>
        <v>26</v>
      </c>
      <c r="C29" s="162">
        <f t="shared" ca="1" si="9"/>
        <v>-3.2666632867348961</v>
      </c>
      <c r="D29" s="162">
        <f t="shared" ca="1" si="3"/>
        <v>1.2725624828214102</v>
      </c>
      <c r="E29" s="162">
        <f t="shared" ca="1" si="4"/>
        <v>2.5627954639408546</v>
      </c>
      <c r="F29" s="163">
        <f t="shared" ca="1" si="5"/>
        <v>1.0885577396515327</v>
      </c>
      <c r="G29" s="163">
        <f t="shared" ca="1" si="1"/>
        <v>0.10586846481247807</v>
      </c>
      <c r="H29" s="162">
        <f t="shared" ca="1" si="6"/>
        <v>-6.7653082541627496E-2</v>
      </c>
      <c r="I29" s="164" t="s">
        <v>568</v>
      </c>
      <c r="J29" s="61">
        <f>'1.RETURNS'!D30*100</f>
        <v>0.13854201179323264</v>
      </c>
      <c r="K29" s="61">
        <f t="shared" si="10"/>
        <v>9.3907554977679164E-2</v>
      </c>
      <c r="L29" s="61">
        <f t="shared" si="7"/>
        <v>4.4634456815553475E-2</v>
      </c>
      <c r="M29" s="162">
        <f t="shared" si="13"/>
        <v>1.5301588026105928E-3</v>
      </c>
      <c r="N29" s="162">
        <f t="shared" si="12"/>
        <v>0.13701185299062205</v>
      </c>
      <c r="O29" s="162">
        <f t="shared" si="8"/>
        <v>-0.1315024243884787</v>
      </c>
      <c r="P29" s="162">
        <f t="shared" si="11"/>
        <v>0.27004443618171137</v>
      </c>
    </row>
    <row r="30" spans="1:16" ht="15.75" customHeight="1" thickBot="1" x14ac:dyDescent="0.25">
      <c r="A30" s="152">
        <f t="shared" ca="1" si="2"/>
        <v>0.13872703554729779</v>
      </c>
      <c r="B30" s="166">
        <f t="shared" si="0"/>
        <v>27</v>
      </c>
      <c r="C30" s="167">
        <f t="shared" ca="1" si="9"/>
        <v>-2.9646030868508535</v>
      </c>
      <c r="D30" s="167">
        <f t="shared" ca="1" si="3"/>
        <v>1.894236597644447E-2</v>
      </c>
      <c r="E30" s="167">
        <f t="shared" ca="1" si="4"/>
        <v>2.8278337408937602</v>
      </c>
      <c r="F30" s="168">
        <f t="shared" ca="1" si="5"/>
        <v>0.2650382769529056</v>
      </c>
      <c r="G30" s="168">
        <f t="shared" ca="1" si="1"/>
        <v>-5.5165559392290175E-2</v>
      </c>
      <c r="H30" s="167">
        <f t="shared" ca="1" si="6"/>
        <v>-4.5328062438101654E-2</v>
      </c>
      <c r="I30" s="164" t="s">
        <v>569</v>
      </c>
      <c r="J30" s="61">
        <f>'1.RETURNS'!D31*100</f>
        <v>-1.1016357826425731</v>
      </c>
      <c r="K30" s="61">
        <f t="shared" si="10"/>
        <v>-2.326505346604206E-2</v>
      </c>
      <c r="L30" s="61">
        <f t="shared" si="7"/>
        <v>-1.078370729176531</v>
      </c>
      <c r="M30" s="167">
        <f t="shared" si="13"/>
        <v>-1.1013711403891757</v>
      </c>
      <c r="N30" s="167">
        <f t="shared" si="12"/>
        <v>-2.6464225339742017E-4</v>
      </c>
      <c r="O30" s="167">
        <f t="shared" si="8"/>
        <v>-1.1011141842074839</v>
      </c>
      <c r="P30" s="167">
        <f t="shared" si="11"/>
        <v>-5.2159843508908788E-4</v>
      </c>
    </row>
    <row r="31" spans="1:16" ht="18" customHeight="1" x14ac:dyDescent="0.2">
      <c r="A31" s="160">
        <f t="shared" ca="1" si="2"/>
        <v>-0.79992569703294036</v>
      </c>
      <c r="B31" s="161">
        <f t="shared" si="0"/>
        <v>28</v>
      </c>
      <c r="C31" s="162">
        <f t="shared" ca="1" si="9"/>
        <v>-3.6162986295412511</v>
      </c>
      <c r="D31" s="162">
        <f t="shared" ca="1" si="3"/>
        <v>-0.26344612622568075</v>
      </c>
      <c r="E31" s="162">
        <f t="shared" ca="1" si="4"/>
        <v>1.40107407264849</v>
      </c>
      <c r="F31" s="163">
        <f t="shared" ca="1" si="5"/>
        <v>-1.4267596682452701</v>
      </c>
      <c r="G31" s="163">
        <f t="shared" ca="1" si="1"/>
        <v>-0.22483023465107763</v>
      </c>
      <c r="H31" s="162">
        <f t="shared" ca="1" si="6"/>
        <v>-0.3065077855418773</v>
      </c>
      <c r="I31" s="171" t="s">
        <v>570</v>
      </c>
      <c r="J31" s="61">
        <f>'1.RETURNS'!D32*100</f>
        <v>0.43343886599564774</v>
      </c>
      <c r="K31" s="61">
        <f t="shared" si="10"/>
        <v>0.18499525921087054</v>
      </c>
      <c r="L31" s="61">
        <f t="shared" si="7"/>
        <v>0.2484436067847772</v>
      </c>
      <c r="M31" s="162">
        <f t="shared" si="13"/>
        <v>0.24295579984447171</v>
      </c>
      <c r="N31" s="162">
        <f t="shared" si="12"/>
        <v>0.19048306615117602</v>
      </c>
      <c r="O31" s="162">
        <f t="shared" si="8"/>
        <v>5.8004981421597379E-2</v>
      </c>
      <c r="P31" s="162">
        <f t="shared" si="11"/>
        <v>0.37543388457405036</v>
      </c>
    </row>
    <row r="32" spans="1:16" ht="15.75" customHeight="1" x14ac:dyDescent="0.2">
      <c r="A32" s="152">
        <f t="shared" ca="1" si="2"/>
        <v>-6.7286968667910159E-3</v>
      </c>
      <c r="B32" s="166">
        <f t="shared" si="0"/>
        <v>29</v>
      </c>
      <c r="C32" s="167">
        <f t="shared" ca="1" si="9"/>
        <v>-3.4422123949309795</v>
      </c>
      <c r="D32" s="167">
        <f t="shared" ca="1" si="3"/>
        <v>-1.0342662336961048</v>
      </c>
      <c r="E32" s="167">
        <f t="shared" ca="1" si="4"/>
        <v>0.56482578317473087</v>
      </c>
      <c r="F32" s="168">
        <f t="shared" ca="1" si="5"/>
        <v>-0.83624828947375918</v>
      </c>
      <c r="G32" s="168">
        <f t="shared" ca="1" si="1"/>
        <v>-0.8768850694403505</v>
      </c>
      <c r="H32" s="167">
        <f t="shared" ca="1" si="6"/>
        <v>-1.3254486299608883</v>
      </c>
      <c r="I32" s="164" t="s">
        <v>571</v>
      </c>
      <c r="J32" s="61">
        <f>'1.RETURNS'!D33*100</f>
        <v>-0.59637653469286867</v>
      </c>
      <c r="K32" s="61">
        <f t="shared" si="10"/>
        <v>-7.2786429626121224E-2</v>
      </c>
      <c r="L32" s="61">
        <f t="shared" si="7"/>
        <v>-0.52359010506674741</v>
      </c>
      <c r="M32" s="167">
        <f t="shared" si="13"/>
        <v>-0.55435712452634345</v>
      </c>
      <c r="N32" s="167">
        <f t="shared" si="12"/>
        <v>-4.2019410166525203E-2</v>
      </c>
      <c r="O32" s="167">
        <f t="shared" si="8"/>
        <v>-0.5135580946861924</v>
      </c>
      <c r="P32" s="167">
        <f t="shared" si="11"/>
        <v>-8.2818440006676194E-2</v>
      </c>
    </row>
    <row r="33" spans="1:16" ht="15.75" customHeight="1" x14ac:dyDescent="0.2">
      <c r="A33" s="160">
        <f t="shared" ca="1" si="2"/>
        <v>1.0648450847377229</v>
      </c>
      <c r="B33" s="161">
        <f t="shared" si="0"/>
        <v>30</v>
      </c>
      <c r="C33" s="162">
        <f t="shared" ca="1" si="9"/>
        <v>-2.2052566904467072</v>
      </c>
      <c r="D33" s="162">
        <f t="shared" ca="1" si="3"/>
        <v>9.2945317840177788E-2</v>
      </c>
      <c r="E33" s="162">
        <f t="shared" ca="1" si="4"/>
        <v>0.93626261248713916</v>
      </c>
      <c r="F33" s="163">
        <f t="shared" ca="1" si="5"/>
        <v>0.37143682931240823</v>
      </c>
      <c r="G33" s="163">
        <f t="shared" ca="1" si="1"/>
        <v>0.70676486644842307</v>
      </c>
      <c r="H33" s="162">
        <f t="shared" ca="1" si="6"/>
        <v>-1.166230880622666</v>
      </c>
      <c r="I33" s="164" t="s">
        <v>572</v>
      </c>
      <c r="J33" s="61">
        <f>'1.RETURNS'!D34*100</f>
        <v>-0.27659885362656095</v>
      </c>
      <c r="K33" s="61">
        <f t="shared" si="10"/>
        <v>0.10014819177182048</v>
      </c>
      <c r="L33" s="61">
        <f t="shared" si="7"/>
        <v>-0.37674704539838144</v>
      </c>
      <c r="M33" s="162">
        <f t="shared" si="13"/>
        <v>-0.37247538511549605</v>
      </c>
      <c r="N33" s="162">
        <f t="shared" si="12"/>
        <v>9.5876531488935129E-2</v>
      </c>
      <c r="O33" s="162">
        <f t="shared" si="8"/>
        <v>-0.46556735032122082</v>
      </c>
      <c r="P33" s="162">
        <f t="shared" si="11"/>
        <v>0.18896849669465984</v>
      </c>
    </row>
    <row r="34" spans="1:16" ht="22" customHeight="1" x14ac:dyDescent="0.2">
      <c r="A34" s="152">
        <f t="shared" ca="1" si="2"/>
        <v>1.5969549760158168</v>
      </c>
      <c r="B34" s="166">
        <f t="shared" si="0"/>
        <v>31</v>
      </c>
      <c r="C34" s="167">
        <f t="shared" ca="1" si="9"/>
        <v>-0.49803887990855511</v>
      </c>
      <c r="D34" s="167">
        <f t="shared" ca="1" si="3"/>
        <v>0.35142333221466171</v>
      </c>
      <c r="E34" s="167">
        <f t="shared" ca="1" si="4"/>
        <v>0.92066786341639428</v>
      </c>
      <c r="F34" s="168">
        <f t="shared" ca="1" si="5"/>
        <v>-1.5594749070744924E-2</v>
      </c>
      <c r="G34" s="168">
        <f t="shared" ca="1" si="1"/>
        <v>-0.14331207429923445</v>
      </c>
      <c r="H34" s="167">
        <f t="shared" ca="1" si="6"/>
        <v>-0.75649600437687103</v>
      </c>
      <c r="I34" s="41" t="s">
        <v>573</v>
      </c>
      <c r="J34" s="61">
        <f>'1.RETURNS'!D35*100</f>
        <v>-0.54750569563483564</v>
      </c>
      <c r="K34" s="61">
        <f t="shared" si="10"/>
        <v>4.6448633414331704E-2</v>
      </c>
      <c r="L34" s="61">
        <f t="shared" si="7"/>
        <v>-0.59395432904916734</v>
      </c>
      <c r="M34" s="167">
        <f t="shared" si="13"/>
        <v>-0.61192562713728005</v>
      </c>
      <c r="N34" s="167">
        <f t="shared" si="12"/>
        <v>6.4419931502444419E-2</v>
      </c>
      <c r="O34" s="167">
        <f t="shared" si="8"/>
        <v>-0.67447459432298618</v>
      </c>
      <c r="P34" s="167">
        <f t="shared" si="11"/>
        <v>0.12696889868815059</v>
      </c>
    </row>
    <row r="35" spans="1:16" ht="15.75" customHeight="1" x14ac:dyDescent="0.2">
      <c r="A35" s="160">
        <f t="shared" ca="1" si="2"/>
        <v>0.966002673219993</v>
      </c>
      <c r="B35" s="161">
        <f t="shared" si="0"/>
        <v>32</v>
      </c>
      <c r="C35" s="162">
        <f t="shared" ca="1" si="9"/>
        <v>0.49286573730686567</v>
      </c>
      <c r="D35" s="162">
        <f t="shared" ca="1" si="3"/>
        <v>0.13929210179336099</v>
      </c>
      <c r="E35" s="162">
        <f t="shared" ca="1" si="4"/>
        <v>1.2425476268294131</v>
      </c>
      <c r="F35" s="163">
        <f t="shared" ca="1" si="5"/>
        <v>0.32187976341301888</v>
      </c>
      <c r="G35" s="163">
        <f t="shared" ca="1" si="1"/>
        <v>0.23961055380282512</v>
      </c>
      <c r="H35" s="162">
        <f t="shared" ca="1" si="6"/>
        <v>-0.57937910236466639</v>
      </c>
      <c r="I35" s="164" t="s">
        <v>574</v>
      </c>
      <c r="J35" s="61">
        <f>'1.RETURNS'!D36*100</f>
        <v>1.8407343631838935</v>
      </c>
      <c r="K35" s="61">
        <f t="shared" si="10"/>
        <v>9.1941419913242547E-2</v>
      </c>
      <c r="L35" s="61">
        <f t="shared" si="7"/>
        <v>1.748792943270651</v>
      </c>
      <c r="M35" s="162">
        <f t="shared" si="13"/>
        <v>1.7349013106922486</v>
      </c>
      <c r="N35" s="162">
        <f t="shared" si="12"/>
        <v>0.10583305249164486</v>
      </c>
      <c r="O35" s="162">
        <f t="shared" si="8"/>
        <v>1.6321419942342388</v>
      </c>
      <c r="P35" s="162">
        <f t="shared" si="11"/>
        <v>0.2085923689496548</v>
      </c>
    </row>
    <row r="36" spans="1:16" ht="22" customHeight="1" x14ac:dyDescent="0.2">
      <c r="A36" s="152">
        <f t="shared" ca="1" si="2"/>
        <v>-0.92739433740308852</v>
      </c>
      <c r="B36" s="166">
        <f t="shared" ref="B36:B63" si="14">ROW()-3</f>
        <v>33</v>
      </c>
      <c r="C36" s="167">
        <f t="shared" ca="1" si="9"/>
        <v>-0.45917188696156613</v>
      </c>
      <c r="D36" s="167">
        <f t="shared" ca="1" si="3"/>
        <v>-0.75283439369136773</v>
      </c>
      <c r="E36" s="167">
        <f t="shared" ca="1" si="4"/>
        <v>0.9718726651104812</v>
      </c>
      <c r="F36" s="168">
        <f t="shared" ca="1" si="5"/>
        <v>-0.27067496171893185</v>
      </c>
      <c r="G36" s="168">
        <f t="shared" ref="G36:G63" ca="1" si="15">_xlfn.NORM.INV(RAND(),0,1)</f>
        <v>-0.92056178135334532</v>
      </c>
      <c r="H36" s="167">
        <f t="shared" ca="1" si="6"/>
        <v>-1.3032445409378008</v>
      </c>
      <c r="I36" s="41" t="s">
        <v>575</v>
      </c>
      <c r="J36" s="61">
        <f>'1.RETURNS'!D37*100</f>
        <v>8.7750087806441543E-3</v>
      </c>
      <c r="K36" s="61">
        <f t="shared" si="10"/>
        <v>-0.30911044831778622</v>
      </c>
      <c r="L36" s="61">
        <f t="shared" si="7"/>
        <v>0.31788545709843036</v>
      </c>
      <c r="M36" s="167">
        <f t="shared" si="13"/>
        <v>0.30882765135631612</v>
      </c>
      <c r="N36" s="167">
        <f t="shared" si="12"/>
        <v>-0.30005264257567199</v>
      </c>
      <c r="O36" s="167">
        <f t="shared" si="8"/>
        <v>0.6001657893631529</v>
      </c>
      <c r="P36" s="167">
        <f t="shared" si="11"/>
        <v>-0.59139078058250871</v>
      </c>
    </row>
    <row r="37" spans="1:16" ht="15.75" customHeight="1" x14ac:dyDescent="0.2">
      <c r="A37" s="160">
        <f t="shared" ref="A37:A63" ca="1" si="16">_xlfn.NORM.INV(RAND(),0,1)</f>
        <v>1.1950780110915418</v>
      </c>
      <c r="B37" s="161">
        <f t="shared" si="14"/>
        <v>34</v>
      </c>
      <c r="C37" s="162">
        <f t="shared" ref="C37:C63" ca="1" si="17">$C$1*C36+A37</f>
        <v>0.75886471847805392</v>
      </c>
      <c r="D37" s="162">
        <f t="shared" ref="D37:D63" ca="1" si="18">G37+$E$1*G36</f>
        <v>-0.62461526590879768</v>
      </c>
      <c r="E37" s="162">
        <f t="shared" ref="E37:E63" ca="1" si="19">E36+F37</f>
        <v>0.40973531835903221</v>
      </c>
      <c r="F37" s="163">
        <f t="shared" ref="F37:F63" ca="1" si="20">_xlfn.NORM.INV(RAND(),0,1)</f>
        <v>-0.562137346751449</v>
      </c>
      <c r="G37" s="163">
        <f t="shared" ca="1" si="15"/>
        <v>1.977798103854397E-2</v>
      </c>
      <c r="H37" s="162">
        <f t="shared" ref="H37:H63" ca="1" si="21">$C$1*H36+G37+$E$1*G36</f>
        <v>-1.8626975797997085</v>
      </c>
      <c r="I37" s="164" t="s">
        <v>576</v>
      </c>
      <c r="J37" s="61">
        <f>'1.RETURNS'!D38*100</f>
        <v>-0.93562805766086821</v>
      </c>
      <c r="K37" s="61">
        <f t="shared" ref="K37:K63" si="22">$K$1*J36</f>
        <v>-1.4735678066474199E-3</v>
      </c>
      <c r="L37" s="61">
        <f t="shared" ref="L37:L63" si="23">J37-K37</f>
        <v>-0.93415448985422078</v>
      </c>
      <c r="M37" s="162">
        <f t="shared" ref="M37:M63" si="24">J37-$N$1*M36</f>
        <v>-0.88221605530730118</v>
      </c>
      <c r="N37" s="162">
        <f t="shared" ref="N37:N63" si="25">$N$1*M36</f>
        <v>-5.3412002353567058E-2</v>
      </c>
      <c r="O37" s="162">
        <f t="shared" ref="O37:O63" si="26">J37-$K$1*J36-$N$1*O36</f>
        <v>-0.83035531120810324</v>
      </c>
      <c r="P37" s="162">
        <f t="shared" ref="P37:P63" si="27">$K$1*J36+$N$1*O36</f>
        <v>-0.10527274645276495</v>
      </c>
    </row>
    <row r="38" spans="1:16" ht="15.75" customHeight="1" thickBot="1" x14ac:dyDescent="0.25">
      <c r="A38" s="152">
        <f t="shared" ca="1" si="16"/>
        <v>0.11979612995821527</v>
      </c>
      <c r="B38" s="166">
        <f t="shared" si="14"/>
        <v>35</v>
      </c>
      <c r="C38" s="167">
        <f t="shared" ca="1" si="17"/>
        <v>0.84071761251236654</v>
      </c>
      <c r="D38" s="167">
        <f t="shared" ca="1" si="18"/>
        <v>0.53541853417540364</v>
      </c>
      <c r="E38" s="167">
        <f t="shared" ca="1" si="19"/>
        <v>1.0233801223432424</v>
      </c>
      <c r="F38" s="168">
        <f t="shared" ca="1" si="20"/>
        <v>0.61364480398421017</v>
      </c>
      <c r="G38" s="168">
        <f t="shared" ca="1" si="15"/>
        <v>0.52157394744842289</v>
      </c>
      <c r="H38" s="167">
        <f t="shared" ca="1" si="21"/>
        <v>-1.2341441666343194</v>
      </c>
      <c r="I38" s="173" t="s">
        <v>577</v>
      </c>
      <c r="J38" s="61">
        <f>'1.RETURNS'!D39*100</f>
        <v>0.90814585452372432</v>
      </c>
      <c r="K38" s="61">
        <f t="shared" si="22"/>
        <v>0.15711794930692971</v>
      </c>
      <c r="L38" s="61">
        <f t="shared" si="23"/>
        <v>0.75102790521679463</v>
      </c>
      <c r="M38" s="167">
        <f t="shared" si="24"/>
        <v>0.75556584487924627</v>
      </c>
      <c r="N38" s="167">
        <f t="shared" si="25"/>
        <v>0.15258000964447804</v>
      </c>
      <c r="O38" s="167">
        <f t="shared" si="26"/>
        <v>0.60741725493414456</v>
      </c>
      <c r="P38" s="167">
        <f t="shared" si="27"/>
        <v>0.30072859958957987</v>
      </c>
    </row>
    <row r="39" spans="1:16" ht="18" customHeight="1" x14ac:dyDescent="0.2">
      <c r="A39" s="160">
        <f t="shared" ca="1" si="16"/>
        <v>-8.1143946440273895E-2</v>
      </c>
      <c r="B39" s="161">
        <f t="shared" si="14"/>
        <v>36</v>
      </c>
      <c r="C39" s="162">
        <f t="shared" ca="1" si="17"/>
        <v>0.71753778544647429</v>
      </c>
      <c r="D39" s="162">
        <f t="shared" ca="1" si="18"/>
        <v>1.421289211800713</v>
      </c>
      <c r="E39" s="162">
        <f t="shared" ca="1" si="19"/>
        <v>2.3676713973751284</v>
      </c>
      <c r="F39" s="163">
        <f t="shared" ca="1" si="20"/>
        <v>1.3442912750318861</v>
      </c>
      <c r="G39" s="163">
        <f t="shared" ca="1" si="15"/>
        <v>1.056187448586817</v>
      </c>
      <c r="H39" s="174">
        <f t="shared" ca="1" si="21"/>
        <v>0.24885225349810969</v>
      </c>
      <c r="I39" s="171" t="s">
        <v>578</v>
      </c>
      <c r="J39" s="61">
        <f>'1.RETURNS'!D40*100</f>
        <v>-1.3189794377500772</v>
      </c>
      <c r="K39" s="61">
        <f t="shared" si="22"/>
        <v>-0.15250292374844049</v>
      </c>
      <c r="L39" s="61">
        <f t="shared" si="23"/>
        <v>-1.1664765140016367</v>
      </c>
      <c r="M39" s="162">
        <f t="shared" si="24"/>
        <v>-1.1883036886462404</v>
      </c>
      <c r="N39" s="162">
        <f t="shared" si="25"/>
        <v>-0.13067574910383692</v>
      </c>
      <c r="O39" s="162">
        <f t="shared" si="26"/>
        <v>-1.0614231882788452</v>
      </c>
      <c r="P39" s="162">
        <f t="shared" si="27"/>
        <v>-0.25755624947123201</v>
      </c>
    </row>
    <row r="40" spans="1:16" ht="15.75" customHeight="1" x14ac:dyDescent="0.2">
      <c r="A40" s="152">
        <f t="shared" ca="1" si="16"/>
        <v>-1.8952731609105298</v>
      </c>
      <c r="B40" s="166">
        <f t="shared" si="14"/>
        <v>37</v>
      </c>
      <c r="C40" s="167">
        <f t="shared" ca="1" si="17"/>
        <v>-1.2136122647363794</v>
      </c>
      <c r="D40" s="167">
        <f t="shared" ca="1" si="18"/>
        <v>0.62498788786364989</v>
      </c>
      <c r="E40" s="167">
        <f t="shared" ca="1" si="19"/>
        <v>4.2450247769891369E-2</v>
      </c>
      <c r="F40" s="168">
        <f t="shared" ca="1" si="20"/>
        <v>-2.3252211496052371</v>
      </c>
      <c r="G40" s="168">
        <f t="shared" ca="1" si="15"/>
        <v>-0.11434332614712196</v>
      </c>
      <c r="H40" s="175">
        <f t="shared" ca="1" si="21"/>
        <v>0.86139752868685404</v>
      </c>
      <c r="I40" s="176" t="s">
        <v>579</v>
      </c>
      <c r="J40" s="61">
        <f>'1.RETURNS'!D41*100</f>
        <v>0.25898212119692798</v>
      </c>
      <c r="K40" s="61">
        <f t="shared" si="22"/>
        <v>0.22149329826149217</v>
      </c>
      <c r="L40" s="61">
        <f t="shared" si="23"/>
        <v>3.7488822935435817E-2</v>
      </c>
      <c r="M40" s="167">
        <f t="shared" si="24"/>
        <v>5.3463997622248488E-2</v>
      </c>
      <c r="N40" s="167">
        <f t="shared" si="25"/>
        <v>0.2055181235746795</v>
      </c>
      <c r="O40" s="167">
        <f t="shared" si="26"/>
        <v>-0.14608521125967563</v>
      </c>
      <c r="P40" s="167">
        <f t="shared" si="27"/>
        <v>0.40506733245660365</v>
      </c>
    </row>
    <row r="41" spans="1:16" ht="22" customHeight="1" x14ac:dyDescent="0.2">
      <c r="A41" s="160">
        <f t="shared" ca="1" si="16"/>
        <v>5.2830344697040288E-2</v>
      </c>
      <c r="B41" s="161">
        <f t="shared" si="14"/>
        <v>38</v>
      </c>
      <c r="C41" s="162">
        <f t="shared" ca="1" si="17"/>
        <v>-1.1001013068025203</v>
      </c>
      <c r="D41" s="162">
        <f t="shared" ca="1" si="18"/>
        <v>0.60513357922854982</v>
      </c>
      <c r="E41" s="162">
        <f t="shared" ca="1" si="19"/>
        <v>-0.23270181987240246</v>
      </c>
      <c r="F41" s="163">
        <f t="shared" ca="1" si="20"/>
        <v>-0.27515206764229383</v>
      </c>
      <c r="G41" s="163">
        <f t="shared" ca="1" si="15"/>
        <v>0.68517390753153518</v>
      </c>
      <c r="H41" s="162">
        <f t="shared" ca="1" si="21"/>
        <v>1.4234612314810611</v>
      </c>
      <c r="I41" s="177" t="s">
        <v>580</v>
      </c>
      <c r="J41" s="61">
        <f>'1.RETURNS'!D42*100</f>
        <v>-1.8806258881128821</v>
      </c>
      <c r="K41" s="61">
        <f t="shared" si="22"/>
        <v>-4.3490294520826561E-2</v>
      </c>
      <c r="L41" s="61">
        <f t="shared" si="23"/>
        <v>-1.8371355935920555</v>
      </c>
      <c r="M41" s="162">
        <f t="shared" si="24"/>
        <v>-1.8713792447042066</v>
      </c>
      <c r="N41" s="162">
        <f t="shared" si="25"/>
        <v>-9.2466434086755783E-3</v>
      </c>
      <c r="O41" s="162">
        <f t="shared" si="26"/>
        <v>-1.8624011538919671</v>
      </c>
      <c r="P41" s="162">
        <f t="shared" si="27"/>
        <v>-1.8224734220914786E-2</v>
      </c>
    </row>
    <row r="42" spans="1:16" ht="15.75" customHeight="1" x14ac:dyDescent="0.2">
      <c r="A42" s="152">
        <f t="shared" ca="1" si="16"/>
        <v>-0.60171228999320192</v>
      </c>
      <c r="B42" s="166">
        <f t="shared" si="14"/>
        <v>39</v>
      </c>
      <c r="C42" s="167">
        <f t="shared" ca="1" si="17"/>
        <v>-1.646808531455596</v>
      </c>
      <c r="D42" s="167">
        <f t="shared" ca="1" si="18"/>
        <v>-0.61885984186977727</v>
      </c>
      <c r="E42" s="167">
        <f t="shared" ca="1" si="19"/>
        <v>-0.48829116988454263</v>
      </c>
      <c r="F42" s="168">
        <f t="shared" ca="1" si="20"/>
        <v>-0.25558935001214017</v>
      </c>
      <c r="G42" s="168">
        <f t="shared" ca="1" si="15"/>
        <v>-1.0984815771418519</v>
      </c>
      <c r="H42" s="175">
        <f t="shared" ca="1" si="21"/>
        <v>0.73342832803723068</v>
      </c>
      <c r="I42" s="178" t="s">
        <v>581</v>
      </c>
      <c r="J42" s="61">
        <f>'1.RETURNS'!D43*100</f>
        <v>-1.5574917471076215</v>
      </c>
      <c r="K42" s="61">
        <f t="shared" si="22"/>
        <v>0.31580934382465947</v>
      </c>
      <c r="L42" s="61">
        <f t="shared" si="23"/>
        <v>-1.8733010909322809</v>
      </c>
      <c r="M42" s="167">
        <f t="shared" si="24"/>
        <v>-1.8811483632933061</v>
      </c>
      <c r="N42" s="167">
        <f t="shared" si="25"/>
        <v>0.32365661618568459</v>
      </c>
      <c r="O42" s="167">
        <f t="shared" si="26"/>
        <v>-2.1954049387518952</v>
      </c>
      <c r="P42" s="167">
        <f t="shared" si="27"/>
        <v>0.63791319164427374</v>
      </c>
    </row>
    <row r="43" spans="1:16" ht="15.75" customHeight="1" x14ac:dyDescent="0.2">
      <c r="A43" s="160">
        <f t="shared" ca="1" si="16"/>
        <v>-0.1902342858644355</v>
      </c>
      <c r="B43" s="161">
        <f t="shared" si="14"/>
        <v>40</v>
      </c>
      <c r="C43" s="162">
        <f t="shared" ca="1" si="17"/>
        <v>-1.7547023907472517</v>
      </c>
      <c r="D43" s="162">
        <f t="shared" ca="1" si="18"/>
        <v>-0.35486379345364621</v>
      </c>
      <c r="E43" s="162">
        <f t="shared" ca="1" si="19"/>
        <v>-1.6236639571625642</v>
      </c>
      <c r="F43" s="163">
        <f t="shared" ca="1" si="20"/>
        <v>-1.1353727872780215</v>
      </c>
      <c r="G43" s="163">
        <f t="shared" ca="1" si="15"/>
        <v>0.41407331054565005</v>
      </c>
      <c r="H43" s="162">
        <f t="shared" ca="1" si="21"/>
        <v>0.34189311818172285</v>
      </c>
      <c r="I43" s="179" t="s">
        <v>582</v>
      </c>
      <c r="J43" s="61">
        <f>'1.RETURNS'!D44*100</f>
        <v>0.24878125762513001</v>
      </c>
      <c r="K43" s="61">
        <f t="shared" si="22"/>
        <v>0.26154614257700604</v>
      </c>
      <c r="L43" s="61">
        <f t="shared" si="23"/>
        <v>-1.2764884951876027E-2</v>
      </c>
      <c r="M43" s="162">
        <f t="shared" si="24"/>
        <v>-7.6564935846725884E-2</v>
      </c>
      <c r="N43" s="162">
        <f t="shared" si="25"/>
        <v>0.32534619347185589</v>
      </c>
      <c r="O43" s="162">
        <f t="shared" si="26"/>
        <v>-0.3924620177722683</v>
      </c>
      <c r="P43" s="162">
        <f t="shared" si="27"/>
        <v>0.64124327539739834</v>
      </c>
    </row>
    <row r="44" spans="1:16" ht="15.75" customHeight="1" x14ac:dyDescent="0.2">
      <c r="A44" s="152">
        <f t="shared" ca="1" si="16"/>
        <v>-0.45654494669692003</v>
      </c>
      <c r="B44" s="166">
        <f t="shared" si="14"/>
        <v>41</v>
      </c>
      <c r="C44" s="167">
        <f t="shared" ca="1" si="17"/>
        <v>-2.1235122179068089</v>
      </c>
      <c r="D44" s="167">
        <f t="shared" ca="1" si="18"/>
        <v>1.1297494207438756</v>
      </c>
      <c r="E44" s="167">
        <f t="shared" ca="1" si="19"/>
        <v>-2.1306343372382979</v>
      </c>
      <c r="F44" s="168">
        <f t="shared" ca="1" si="20"/>
        <v>-0.5069703800757337</v>
      </c>
      <c r="G44" s="168">
        <f t="shared" ca="1" si="15"/>
        <v>0.83989810336192072</v>
      </c>
      <c r="H44" s="167">
        <f t="shared" ca="1" si="21"/>
        <v>1.4545478830165124</v>
      </c>
      <c r="I44" s="172" t="s">
        <v>583</v>
      </c>
      <c r="J44" s="61">
        <f>'1.RETURNS'!D45*100</f>
        <v>0.75532940637161583</v>
      </c>
      <c r="K44" s="61">
        <f t="shared" si="22"/>
        <v>-4.1777286074321004E-2</v>
      </c>
      <c r="L44" s="61">
        <f t="shared" si="23"/>
        <v>0.79710669244593679</v>
      </c>
      <c r="M44" s="167">
        <f t="shared" si="24"/>
        <v>0.7420874362446348</v>
      </c>
      <c r="N44" s="167">
        <f t="shared" si="25"/>
        <v>1.3241970126980975E-2</v>
      </c>
      <c r="O44" s="167">
        <f t="shared" si="26"/>
        <v>0.72923005599555457</v>
      </c>
      <c r="P44" s="167">
        <f t="shared" si="27"/>
        <v>2.6099350376061259E-2</v>
      </c>
    </row>
    <row r="45" spans="1:16" ht="15.75" customHeight="1" x14ac:dyDescent="0.2">
      <c r="A45" s="160">
        <f t="shared" ca="1" si="16"/>
        <v>-0.75439008222956161</v>
      </c>
      <c r="B45" s="161">
        <f t="shared" si="14"/>
        <v>42</v>
      </c>
      <c r="C45" s="162">
        <f t="shared" ca="1" si="17"/>
        <v>-2.7717266892410302</v>
      </c>
      <c r="D45" s="162">
        <f t="shared" ca="1" si="18"/>
        <v>1.0463595870565103</v>
      </c>
      <c r="E45" s="162">
        <f t="shared" ca="1" si="19"/>
        <v>-4.2310848102779719</v>
      </c>
      <c r="F45" s="163">
        <f t="shared" ca="1" si="20"/>
        <v>-2.100450473039674</v>
      </c>
      <c r="G45" s="163">
        <f t="shared" ca="1" si="15"/>
        <v>0.45843091470316577</v>
      </c>
      <c r="H45" s="162">
        <f t="shared" ca="1" si="21"/>
        <v>2.4281800759221968</v>
      </c>
      <c r="I45" s="164" t="s">
        <v>584</v>
      </c>
      <c r="J45" s="61">
        <f>'1.RETURNS'!D46*100</f>
        <v>0.21145723363076521</v>
      </c>
      <c r="K45" s="61">
        <f t="shared" si="22"/>
        <v>-0.12684079577201457</v>
      </c>
      <c r="L45" s="61">
        <f t="shared" si="23"/>
        <v>0.33829802940277975</v>
      </c>
      <c r="M45" s="162">
        <f t="shared" si="24"/>
        <v>0.33980188061161382</v>
      </c>
      <c r="N45" s="162">
        <f t="shared" si="25"/>
        <v>-0.1283446469808486</v>
      </c>
      <c r="O45" s="162">
        <f t="shared" si="26"/>
        <v>0.464418981642861</v>
      </c>
      <c r="P45" s="162">
        <f t="shared" si="27"/>
        <v>-0.25296174801209581</v>
      </c>
    </row>
    <row r="46" spans="1:16" ht="15.75" customHeight="1" x14ac:dyDescent="0.2">
      <c r="A46" s="152">
        <f t="shared" ca="1" si="16"/>
        <v>0.25715839319966211</v>
      </c>
      <c r="B46" s="166">
        <f t="shared" si="14"/>
        <v>43</v>
      </c>
      <c r="C46" s="167">
        <f t="shared" ca="1" si="17"/>
        <v>-2.3759819615793165</v>
      </c>
      <c r="D46" s="167">
        <f t="shared" ca="1" si="18"/>
        <v>0.43192213734448387</v>
      </c>
      <c r="E46" s="167">
        <f t="shared" ca="1" si="19"/>
        <v>-3.2860520105031741</v>
      </c>
      <c r="F46" s="168">
        <f t="shared" ca="1" si="20"/>
        <v>0.94503279977479759</v>
      </c>
      <c r="G46" s="168">
        <f t="shared" ca="1" si="15"/>
        <v>0.11102049705226785</v>
      </c>
      <c r="H46" s="167">
        <f t="shared" ca="1" si="21"/>
        <v>2.7386932094705703</v>
      </c>
      <c r="I46" s="164" t="s">
        <v>585</v>
      </c>
      <c r="J46" s="61">
        <f>'1.RETURNS'!D47*100</f>
        <v>-8.4768128441018997E-2</v>
      </c>
      <c r="K46" s="61">
        <f t="shared" si="22"/>
        <v>-3.5509545317873072E-2</v>
      </c>
      <c r="L46" s="61">
        <f t="shared" si="23"/>
        <v>-4.9258583123145926E-2</v>
      </c>
      <c r="M46" s="167">
        <f t="shared" si="24"/>
        <v>-2.5999107055580686E-2</v>
      </c>
      <c r="N46" s="167">
        <f t="shared" si="25"/>
        <v>-5.8769021385438311E-2</v>
      </c>
      <c r="O46" s="167">
        <f t="shared" si="26"/>
        <v>3.1063070820754997E-2</v>
      </c>
      <c r="P46" s="167">
        <f t="shared" si="27"/>
        <v>-0.11583119926177399</v>
      </c>
    </row>
    <row r="47" spans="1:16" ht="15.75" customHeight="1" thickBot="1" x14ac:dyDescent="0.25">
      <c r="A47" s="160">
        <f t="shared" ca="1" si="16"/>
        <v>-0.85133388412754418</v>
      </c>
      <c r="B47" s="161">
        <f t="shared" si="14"/>
        <v>44</v>
      </c>
      <c r="C47" s="162">
        <f t="shared" ca="1" si="17"/>
        <v>-3.1085167476278945</v>
      </c>
      <c r="D47" s="162">
        <f t="shared" ca="1" si="18"/>
        <v>0.73285885761506364</v>
      </c>
      <c r="E47" s="162">
        <f t="shared" ca="1" si="19"/>
        <v>-4.2879492070280918</v>
      </c>
      <c r="F47" s="163">
        <f t="shared" ca="1" si="20"/>
        <v>-1.0018971965249177</v>
      </c>
      <c r="G47" s="163">
        <f t="shared" ca="1" si="15"/>
        <v>0.65514450967847615</v>
      </c>
      <c r="H47" s="162">
        <f t="shared" ca="1" si="21"/>
        <v>3.3346174066121055</v>
      </c>
      <c r="I47" s="101"/>
      <c r="J47" s="61">
        <f>'1.RETURNS'!D48*100</f>
        <v>-0.27581407103905642</v>
      </c>
      <c r="K47" s="61">
        <f t="shared" si="22"/>
        <v>1.4234924228904265E-2</v>
      </c>
      <c r="L47" s="61">
        <f t="shared" si="23"/>
        <v>-0.29004899526796069</v>
      </c>
      <c r="M47" s="162">
        <f t="shared" si="24"/>
        <v>-0.28031063849713395</v>
      </c>
      <c r="N47" s="162">
        <f t="shared" si="25"/>
        <v>4.496567458077509E-3</v>
      </c>
      <c r="O47" s="162">
        <f t="shared" si="26"/>
        <v>-0.28467661101253366</v>
      </c>
      <c r="P47" s="162">
        <f t="shared" si="27"/>
        <v>8.8625399734772181E-3</v>
      </c>
    </row>
    <row r="48" spans="1:16" ht="18" customHeight="1" x14ac:dyDescent="0.2">
      <c r="A48" s="152">
        <f t="shared" ca="1" si="16"/>
        <v>-0.24273475613542284</v>
      </c>
      <c r="B48" s="166">
        <f t="shared" si="14"/>
        <v>45</v>
      </c>
      <c r="C48" s="167">
        <f t="shared" ca="1" si="17"/>
        <v>-3.1958256663819222</v>
      </c>
      <c r="D48" s="167">
        <f t="shared" ca="1" si="18"/>
        <v>-0.14374406117713034</v>
      </c>
      <c r="E48" s="167">
        <f t="shared" ca="1" si="19"/>
        <v>-4.106595744720674</v>
      </c>
      <c r="F48" s="168">
        <f t="shared" ca="1" si="20"/>
        <v>0.18135346230741795</v>
      </c>
      <c r="G48" s="168">
        <f t="shared" ca="1" si="15"/>
        <v>-0.60234521795206364</v>
      </c>
      <c r="H48" s="167">
        <f t="shared" ca="1" si="21"/>
        <v>3.0241424751043695</v>
      </c>
      <c r="I48" s="180" t="s">
        <v>586</v>
      </c>
      <c r="J48" s="61">
        <f>'1.RETURNS'!D49*100</f>
        <v>-1.4851304136611461</v>
      </c>
      <c r="K48" s="61">
        <f t="shared" si="22"/>
        <v>4.6316846611027876E-2</v>
      </c>
      <c r="L48" s="61">
        <f t="shared" si="23"/>
        <v>-1.531447260272174</v>
      </c>
      <c r="M48" s="167">
        <f t="shared" si="24"/>
        <v>-1.5336103746276744</v>
      </c>
      <c r="N48" s="167">
        <f t="shared" si="25"/>
        <v>4.8479960966528256E-2</v>
      </c>
      <c r="O48" s="167">
        <f t="shared" si="26"/>
        <v>-1.5806823198616526</v>
      </c>
      <c r="P48" s="167">
        <f t="shared" si="27"/>
        <v>9.5551906200506465E-2</v>
      </c>
    </row>
    <row r="49" spans="1:16" ht="15.75" customHeight="1" x14ac:dyDescent="0.2">
      <c r="A49" s="160">
        <f t="shared" ca="1" si="16"/>
        <v>0.55654362544937941</v>
      </c>
      <c r="B49" s="161">
        <f t="shared" si="14"/>
        <v>46</v>
      </c>
      <c r="C49" s="162">
        <f t="shared" ca="1" si="17"/>
        <v>-2.4794907576134464</v>
      </c>
      <c r="D49" s="162">
        <f t="shared" ca="1" si="18"/>
        <v>0.66354336735573782</v>
      </c>
      <c r="E49" s="162">
        <f t="shared" ca="1" si="19"/>
        <v>-3.395370102460658</v>
      </c>
      <c r="F49" s="163">
        <f t="shared" ca="1" si="20"/>
        <v>0.71122564226001594</v>
      </c>
      <c r="G49" s="163">
        <f t="shared" ca="1" si="15"/>
        <v>1.0851850199221824</v>
      </c>
      <c r="H49" s="162">
        <f t="shared" ca="1" si="21"/>
        <v>3.5364787187048883</v>
      </c>
      <c r="I49" s="181" t="s">
        <v>587</v>
      </c>
      <c r="J49" s="61">
        <f>'1.RETURNS'!D50*100</f>
        <v>-0.76831274315068232</v>
      </c>
      <c r="K49" s="61">
        <f t="shared" si="22"/>
        <v>0.24939466397700649</v>
      </c>
      <c r="L49" s="61">
        <f t="shared" si="23"/>
        <v>-1.0177074071276888</v>
      </c>
      <c r="M49" s="162">
        <f t="shared" si="24"/>
        <v>-1.0335519488348883</v>
      </c>
      <c r="N49" s="162">
        <f t="shared" si="25"/>
        <v>0.26523920568420606</v>
      </c>
      <c r="O49" s="162">
        <f t="shared" si="26"/>
        <v>-1.2910877453775258</v>
      </c>
      <c r="P49" s="162">
        <f t="shared" si="27"/>
        <v>0.52277500222684348</v>
      </c>
    </row>
    <row r="50" spans="1:16" ht="15.75" customHeight="1" x14ac:dyDescent="0.2">
      <c r="A50" s="152">
        <f t="shared" ca="1" si="16"/>
        <v>-0.79905461611687179</v>
      </c>
      <c r="B50" s="166">
        <f t="shared" si="14"/>
        <v>47</v>
      </c>
      <c r="C50" s="167">
        <f t="shared" ca="1" si="17"/>
        <v>-3.1545708358496456</v>
      </c>
      <c r="D50" s="167">
        <f t="shared" ca="1" si="18"/>
        <v>0.43988466559592437</v>
      </c>
      <c r="E50" s="167">
        <f t="shared" ca="1" si="19"/>
        <v>-3.4236921411503194</v>
      </c>
      <c r="F50" s="168">
        <f t="shared" ca="1" si="20"/>
        <v>-2.8322038689661287E-2</v>
      </c>
      <c r="G50" s="168">
        <f t="shared" ca="1" si="15"/>
        <v>-0.31974484834960332</v>
      </c>
      <c r="H50" s="167">
        <f t="shared" ca="1" si="21"/>
        <v>3.799539448365568</v>
      </c>
      <c r="I50" s="182" t="s">
        <v>588</v>
      </c>
      <c r="J50" s="61">
        <f>'1.RETURNS'!D51*100</f>
        <v>-0.43656826068705945</v>
      </c>
      <c r="K50" s="61">
        <f t="shared" si="22"/>
        <v>0.12902105878698664</v>
      </c>
      <c r="L50" s="61">
        <f t="shared" si="23"/>
        <v>-0.56558931947404611</v>
      </c>
      <c r="M50" s="167">
        <f t="shared" si="24"/>
        <v>-0.61532194055107547</v>
      </c>
      <c r="N50" s="167">
        <f t="shared" si="25"/>
        <v>0.178753679864016</v>
      </c>
      <c r="O50" s="167">
        <f t="shared" si="26"/>
        <v>-0.78888403221077086</v>
      </c>
      <c r="P50" s="167">
        <f t="shared" si="27"/>
        <v>0.35231577152371141</v>
      </c>
    </row>
    <row r="51" spans="1:16" ht="15.75" customHeight="1" x14ac:dyDescent="0.2">
      <c r="A51" s="160">
        <f t="shared" ca="1" si="16"/>
        <v>-0.20736456776956083</v>
      </c>
      <c r="B51" s="161">
        <f t="shared" si="14"/>
        <v>48</v>
      </c>
      <c r="C51" s="162">
        <f t="shared" ca="1" si="17"/>
        <v>-3.2042068618267239</v>
      </c>
      <c r="D51" s="162">
        <f t="shared" ca="1" si="18"/>
        <v>0.41764173726818454</v>
      </c>
      <c r="E51" s="162">
        <f t="shared" ca="1" si="19"/>
        <v>-4.2920115223052093</v>
      </c>
      <c r="F51" s="163">
        <f t="shared" ca="1" si="20"/>
        <v>-0.8683193811548896</v>
      </c>
      <c r="G51" s="163">
        <f t="shared" ca="1" si="15"/>
        <v>0.64146313111290687</v>
      </c>
      <c r="H51" s="162">
        <f t="shared" ca="1" si="21"/>
        <v>4.0272042132154739</v>
      </c>
      <c r="I51" s="182" t="s">
        <v>589</v>
      </c>
      <c r="J51" s="61">
        <f>'1.RETURNS'!D52*100</f>
        <v>1.0511055683539985</v>
      </c>
      <c r="K51" s="61">
        <f t="shared" si="22"/>
        <v>7.331194195173045E-2</v>
      </c>
      <c r="L51" s="61">
        <f t="shared" si="23"/>
        <v>0.97779362640226808</v>
      </c>
      <c r="M51" s="162">
        <f t="shared" si="24"/>
        <v>0.94468512059753718</v>
      </c>
      <c r="N51" s="162">
        <f t="shared" si="25"/>
        <v>0.10642044775646133</v>
      </c>
      <c r="O51" s="162">
        <f t="shared" si="26"/>
        <v>0.84135546874352252</v>
      </c>
      <c r="P51" s="162">
        <f t="shared" si="27"/>
        <v>0.20975009961047603</v>
      </c>
    </row>
    <row r="52" spans="1:16" ht="15.75" customHeight="1" x14ac:dyDescent="0.2">
      <c r="A52" s="152">
        <f t="shared" ca="1" si="16"/>
        <v>5.2470130586362469E-2</v>
      </c>
      <c r="B52" s="166">
        <f t="shared" si="14"/>
        <v>49</v>
      </c>
      <c r="C52" s="167">
        <f t="shared" ca="1" si="17"/>
        <v>-2.9915263881490248</v>
      </c>
      <c r="D52" s="167">
        <f t="shared" ca="1" si="18"/>
        <v>0.21089549700822074</v>
      </c>
      <c r="E52" s="167">
        <f t="shared" ca="1" si="19"/>
        <v>-3.7902513621362033</v>
      </c>
      <c r="F52" s="168">
        <f t="shared" ca="1" si="20"/>
        <v>0.50176016016900615</v>
      </c>
      <c r="G52" s="168">
        <f t="shared" ca="1" si="15"/>
        <v>-0.23812869477081405</v>
      </c>
      <c r="H52" s="167">
        <f t="shared" ca="1" si="21"/>
        <v>4.0367394995629207</v>
      </c>
      <c r="I52" s="181" t="s">
        <v>590</v>
      </c>
      <c r="J52" s="61">
        <f>'1.RETURNS'!D53*100</f>
        <v>0.38205554190330077</v>
      </c>
      <c r="K52" s="61">
        <f t="shared" si="22"/>
        <v>-0.17650983214179664</v>
      </c>
      <c r="L52" s="61">
        <f t="shared" si="23"/>
        <v>0.55856537404509743</v>
      </c>
      <c r="M52" s="167">
        <f t="shared" si="24"/>
        <v>0.54543962899244247</v>
      </c>
      <c r="N52" s="167">
        <f t="shared" si="25"/>
        <v>-0.16338408708914168</v>
      </c>
      <c r="O52" s="167">
        <f t="shared" si="26"/>
        <v>0.7040785108362938</v>
      </c>
      <c r="P52" s="167">
        <f t="shared" si="27"/>
        <v>-0.32202296893299304</v>
      </c>
    </row>
    <row r="53" spans="1:16" ht="15.75" customHeight="1" thickBot="1" x14ac:dyDescent="0.25">
      <c r="A53" s="160">
        <f t="shared" ca="1" si="16"/>
        <v>-0.31854598406630807</v>
      </c>
      <c r="B53" s="161">
        <f t="shared" si="14"/>
        <v>50</v>
      </c>
      <c r="C53" s="162">
        <f t="shared" ca="1" si="17"/>
        <v>-3.1604960528078818</v>
      </c>
      <c r="D53" s="162">
        <f t="shared" ca="1" si="18"/>
        <v>0.10243308669111995</v>
      </c>
      <c r="E53" s="162">
        <f t="shared" ca="1" si="19"/>
        <v>-2.6869445332208528</v>
      </c>
      <c r="F53" s="163">
        <f t="shared" ca="1" si="20"/>
        <v>1.1033068289153507</v>
      </c>
      <c r="G53" s="163">
        <f t="shared" ca="1" si="15"/>
        <v>0.26912317303068978</v>
      </c>
      <c r="H53" s="174">
        <f t="shared" ca="1" si="21"/>
        <v>3.9373356112758944</v>
      </c>
      <c r="I53" s="183" t="s">
        <v>591</v>
      </c>
      <c r="J53" s="61">
        <f>'1.RETURNS'!D54*100</f>
        <v>-1.6681933197953236</v>
      </c>
      <c r="K53" s="61">
        <f t="shared" si="22"/>
        <v>-6.4157741715514374E-2</v>
      </c>
      <c r="L53" s="61">
        <f t="shared" si="23"/>
        <v>-1.6040355780798092</v>
      </c>
      <c r="M53" s="162">
        <f t="shared" si="24"/>
        <v>-1.5738590766680451</v>
      </c>
      <c r="N53" s="162">
        <f t="shared" si="25"/>
        <v>-9.4334243127278353E-2</v>
      </c>
      <c r="O53" s="162">
        <f t="shared" si="26"/>
        <v>-1.4822646067541387</v>
      </c>
      <c r="P53" s="162">
        <f t="shared" si="27"/>
        <v>-0.1859287130411848</v>
      </c>
    </row>
    <row r="54" spans="1:16" ht="15.75" customHeight="1" x14ac:dyDescent="0.2">
      <c r="A54" s="152">
        <f t="shared" ca="1" si="16"/>
        <v>-1.0549327574430105</v>
      </c>
      <c r="B54" s="166">
        <f t="shared" si="14"/>
        <v>51</v>
      </c>
      <c r="C54" s="167">
        <f t="shared" ca="1" si="17"/>
        <v>-4.057404007610498</v>
      </c>
      <c r="D54" s="167">
        <f t="shared" ca="1" si="18"/>
        <v>1.000308941405236</v>
      </c>
      <c r="E54" s="167">
        <f t="shared" ca="1" si="19"/>
        <v>-4.4926597668576678</v>
      </c>
      <c r="F54" s="168">
        <f t="shared" ca="1" si="20"/>
        <v>-1.8057152336368147</v>
      </c>
      <c r="G54" s="152">
        <f t="shared" ca="1" si="15"/>
        <v>0.81192272028375301</v>
      </c>
      <c r="H54" s="175">
        <f t="shared" ca="1" si="21"/>
        <v>4.740777772117335</v>
      </c>
      <c r="I54" s="184" t="s">
        <v>592</v>
      </c>
      <c r="J54" s="61">
        <f>'1.RETURNS'!D55*100</f>
        <v>0.4039434852456803</v>
      </c>
      <c r="K54" s="61">
        <f t="shared" si="22"/>
        <v>0.2801360127111146</v>
      </c>
      <c r="L54" s="61">
        <f t="shared" si="23"/>
        <v>0.1238074725345657</v>
      </c>
      <c r="M54" s="167">
        <f t="shared" si="24"/>
        <v>0.13174323265175969</v>
      </c>
      <c r="N54" s="167">
        <f t="shared" si="25"/>
        <v>0.27220025259392061</v>
      </c>
      <c r="O54" s="167">
        <f t="shared" si="26"/>
        <v>-0.13255143935968172</v>
      </c>
      <c r="P54" s="167">
        <f t="shared" si="27"/>
        <v>0.53649492460536208</v>
      </c>
    </row>
    <row r="55" spans="1:16" ht="15.75" customHeight="1" x14ac:dyDescent="0.2">
      <c r="A55" s="160">
        <f t="shared" ca="1" si="16"/>
        <v>-7.1435869012825157E-2</v>
      </c>
      <c r="B55" s="161">
        <f t="shared" si="14"/>
        <v>52</v>
      </c>
      <c r="C55" s="162">
        <f t="shared" ca="1" si="17"/>
        <v>-3.925969676242798</v>
      </c>
      <c r="D55" s="162">
        <f t="shared" ca="1" si="18"/>
        <v>0.54822732692575127</v>
      </c>
      <c r="E55" s="162">
        <f t="shared" ca="1" si="19"/>
        <v>-4.3077778297835785</v>
      </c>
      <c r="F55" s="163">
        <f t="shared" ca="1" si="20"/>
        <v>0.18488193707408918</v>
      </c>
      <c r="G55" s="160">
        <f t="shared" ca="1" si="15"/>
        <v>-2.0118577272875759E-2</v>
      </c>
      <c r="H55" s="174">
        <f t="shared" ca="1" si="21"/>
        <v>5.0519662104372189</v>
      </c>
      <c r="I55" s="185" t="s">
        <v>593</v>
      </c>
      <c r="J55" s="61">
        <f>'1.RETURNS'!D56*100</f>
        <v>-0.34328481905995306</v>
      </c>
      <c r="K55" s="61">
        <f t="shared" si="22"/>
        <v>-6.7833335605995415E-2</v>
      </c>
      <c r="L55" s="61">
        <f t="shared" si="23"/>
        <v>-0.27545148345395765</v>
      </c>
      <c r="M55" s="162">
        <f t="shared" si="24"/>
        <v>-0.3204997160370906</v>
      </c>
      <c r="N55" s="162">
        <f t="shared" si="25"/>
        <v>-2.2785103022862487E-2</v>
      </c>
      <c r="O55" s="162">
        <f t="shared" si="26"/>
        <v>-0.29837636650751398</v>
      </c>
      <c r="P55" s="162">
        <f t="shared" si="27"/>
        <v>-4.4908452552439061E-2</v>
      </c>
    </row>
    <row r="56" spans="1:16" ht="15.75" customHeight="1" x14ac:dyDescent="0.2">
      <c r="A56" s="152">
        <f t="shared" ca="1" si="16"/>
        <v>0.24728828768000929</v>
      </c>
      <c r="B56" s="166">
        <f t="shared" si="14"/>
        <v>53</v>
      </c>
      <c r="C56" s="167">
        <f t="shared" ca="1" si="17"/>
        <v>-3.4823829047506485</v>
      </c>
      <c r="D56" s="167">
        <f t="shared" ca="1" si="18"/>
        <v>1.2541992287208181</v>
      </c>
      <c r="E56" s="167">
        <f t="shared" ca="1" si="19"/>
        <v>-4.0347972741023339</v>
      </c>
      <c r="F56" s="168">
        <f t="shared" ca="1" si="20"/>
        <v>0.27298055568124463</v>
      </c>
      <c r="G56" s="152">
        <f t="shared" ca="1" si="15"/>
        <v>1.2682822328118311</v>
      </c>
      <c r="H56" s="175">
        <f t="shared" ca="1" si="21"/>
        <v>6.0535671286361756</v>
      </c>
      <c r="I56" s="186" t="s">
        <v>594</v>
      </c>
      <c r="J56" s="61">
        <f>'1.RETURNS'!D57*100</f>
        <v>-0.63454123510951776</v>
      </c>
      <c r="K56" s="61">
        <f t="shared" si="22"/>
        <v>5.764706002270209E-2</v>
      </c>
      <c r="L56" s="61">
        <f t="shared" si="23"/>
        <v>-0.6921882951322198</v>
      </c>
      <c r="M56" s="167">
        <f t="shared" si="24"/>
        <v>-0.68997193087820663</v>
      </c>
      <c r="N56" s="167">
        <f t="shared" si="25"/>
        <v>5.5430695768688816E-2</v>
      </c>
      <c r="O56" s="167">
        <f t="shared" si="26"/>
        <v>-0.74379273897057485</v>
      </c>
      <c r="P56" s="167">
        <f t="shared" si="27"/>
        <v>0.1092515038610572</v>
      </c>
    </row>
    <row r="57" spans="1:16" ht="15.75" customHeight="1" x14ac:dyDescent="0.2">
      <c r="A57" s="160">
        <f t="shared" ca="1" si="16"/>
        <v>-1.2354253879602628</v>
      </c>
      <c r="B57" s="161">
        <f t="shared" si="14"/>
        <v>54</v>
      </c>
      <c r="C57" s="162">
        <f t="shared" ca="1" si="17"/>
        <v>-4.5436891474733789</v>
      </c>
      <c r="D57" s="162">
        <f t="shared" ca="1" si="18"/>
        <v>1.959281081210021</v>
      </c>
      <c r="E57" s="162">
        <f t="shared" ca="1" si="19"/>
        <v>-3.8755825849742638</v>
      </c>
      <c r="F57" s="163">
        <f t="shared" ca="1" si="20"/>
        <v>0.15921468912807016</v>
      </c>
      <c r="G57" s="160">
        <f t="shared" ca="1" si="15"/>
        <v>1.0714835182417393</v>
      </c>
      <c r="H57" s="174">
        <f t="shared" ca="1" si="21"/>
        <v>7.7101698534143877</v>
      </c>
      <c r="I57" s="185" t="s">
        <v>595</v>
      </c>
      <c r="J57" s="61">
        <f>'1.RETURNS'!D58*100</f>
        <v>0.67446710168615143</v>
      </c>
      <c r="K57" s="61">
        <f t="shared" si="22"/>
        <v>0.10655710545956146</v>
      </c>
      <c r="L57" s="61">
        <f t="shared" si="23"/>
        <v>0.56790999622659</v>
      </c>
      <c r="M57" s="162">
        <f t="shared" si="24"/>
        <v>0.5551358752428226</v>
      </c>
      <c r="N57" s="162">
        <f t="shared" si="25"/>
        <v>0.11933122644332887</v>
      </c>
      <c r="O57" s="162">
        <f t="shared" si="26"/>
        <v>0.43927041570332243</v>
      </c>
      <c r="P57" s="162">
        <f t="shared" si="27"/>
        <v>0.23519668598282903</v>
      </c>
    </row>
    <row r="58" spans="1:16" ht="15.75" customHeight="1" x14ac:dyDescent="0.2">
      <c r="A58" s="152">
        <f t="shared" ca="1" si="16"/>
        <v>0.21783850808245753</v>
      </c>
      <c r="B58" s="166">
        <f t="shared" si="14"/>
        <v>55</v>
      </c>
      <c r="C58" s="167">
        <f t="shared" ca="1" si="17"/>
        <v>-4.0986661820172525</v>
      </c>
      <c r="D58" s="167">
        <f t="shared" ca="1" si="18"/>
        <v>1.2403251869097676</v>
      </c>
      <c r="E58" s="167">
        <f t="shared" ca="1" si="19"/>
        <v>-3.7163750369222588</v>
      </c>
      <c r="F58" s="168">
        <f t="shared" ca="1" si="20"/>
        <v>0.15920754805200485</v>
      </c>
      <c r="G58" s="152">
        <f t="shared" ca="1" si="15"/>
        <v>0.49028672414055019</v>
      </c>
      <c r="H58" s="175">
        <f t="shared" ca="1" si="21"/>
        <v>8.5649865476534348</v>
      </c>
      <c r="I58" s="185" t="s">
        <v>596</v>
      </c>
      <c r="J58" s="61">
        <f>'1.RETURNS'!D59*100</f>
        <v>1.0476356326837035</v>
      </c>
      <c r="K58" s="61">
        <f t="shared" si="22"/>
        <v>-0.11326176788333042</v>
      </c>
      <c r="L58" s="61">
        <f t="shared" si="23"/>
        <v>1.1608974005670341</v>
      </c>
      <c r="M58" s="167">
        <f t="shared" si="24"/>
        <v>1.1436468497648087</v>
      </c>
      <c r="N58" s="167">
        <f t="shared" si="25"/>
        <v>-9.601121708110523E-2</v>
      </c>
      <c r="O58" s="167">
        <f t="shared" si="26"/>
        <v>1.2368695888550838</v>
      </c>
      <c r="P58" s="167">
        <f t="shared" si="27"/>
        <v>-0.1892339561713802</v>
      </c>
    </row>
    <row r="59" spans="1:16" ht="15.75" customHeight="1" x14ac:dyDescent="0.2">
      <c r="A59" s="160">
        <f t="shared" ca="1" si="16"/>
        <v>-0.15166392212748211</v>
      </c>
      <c r="B59" s="161">
        <f t="shared" si="14"/>
        <v>56</v>
      </c>
      <c r="C59" s="162">
        <f t="shared" ca="1" si="17"/>
        <v>-4.0453967950438718</v>
      </c>
      <c r="D59" s="162">
        <f t="shared" ca="1" si="18"/>
        <v>-0.68786736510705748</v>
      </c>
      <c r="E59" s="162">
        <f t="shared" ca="1" si="19"/>
        <v>-4.1423826657513692</v>
      </c>
      <c r="F59" s="163">
        <f t="shared" ca="1" si="20"/>
        <v>-0.42600762882911003</v>
      </c>
      <c r="G59" s="160">
        <f t="shared" ca="1" si="15"/>
        <v>-1.0310680720054426</v>
      </c>
      <c r="H59" s="174">
        <f t="shared" ca="1" si="21"/>
        <v>7.4488698551637054</v>
      </c>
      <c r="I59" s="185" t="s">
        <v>597</v>
      </c>
      <c r="J59" s="61">
        <f>'1.RETURNS'!D60*100</f>
        <v>1.0563192393945127</v>
      </c>
      <c r="K59" s="61">
        <f t="shared" si="22"/>
        <v>-0.17592713352317385</v>
      </c>
      <c r="L59" s="61">
        <f t="shared" si="23"/>
        <v>1.2322463729176865</v>
      </c>
      <c r="M59" s="162">
        <f t="shared" si="24"/>
        <v>1.2541139250808993</v>
      </c>
      <c r="N59" s="162">
        <f t="shared" si="25"/>
        <v>-0.19779468568638656</v>
      </c>
      <c r="O59" s="162">
        <f t="shared" si="26"/>
        <v>1.4461640098288999</v>
      </c>
      <c r="P59" s="162">
        <f t="shared" si="27"/>
        <v>-0.38984477043438737</v>
      </c>
    </row>
    <row r="60" spans="1:16" ht="15.75" customHeight="1" x14ac:dyDescent="0.2">
      <c r="A60" s="152">
        <f t="shared" ca="1" si="16"/>
        <v>0.28004320291220708</v>
      </c>
      <c r="B60" s="166">
        <f t="shared" si="14"/>
        <v>57</v>
      </c>
      <c r="C60" s="167">
        <f t="shared" ca="1" si="17"/>
        <v>-3.5630837523794709</v>
      </c>
      <c r="D60" s="167">
        <f t="shared" ca="1" si="18"/>
        <v>-1.1960801497742026</v>
      </c>
      <c r="E60" s="167">
        <f t="shared" ca="1" si="19"/>
        <v>-5.148820623284001</v>
      </c>
      <c r="F60" s="168">
        <f t="shared" ca="1" si="20"/>
        <v>-1.0064379575326317</v>
      </c>
      <c r="G60" s="152">
        <f t="shared" ca="1" si="15"/>
        <v>-0.47433249937039279</v>
      </c>
      <c r="H60" s="175">
        <f t="shared" ca="1" si="21"/>
        <v>5.8803462126313173</v>
      </c>
      <c r="I60" s="186" t="s">
        <v>598</v>
      </c>
      <c r="J60" s="61">
        <f>'1.RETURNS'!D61*100</f>
        <v>-0.86289840852801281</v>
      </c>
      <c r="K60" s="61">
        <f t="shared" si="22"/>
        <v>-0.17738535238249406</v>
      </c>
      <c r="L60" s="61">
        <f t="shared" si="23"/>
        <v>-0.68551305614551872</v>
      </c>
      <c r="M60" s="167">
        <f t="shared" si="24"/>
        <v>-0.64599834914577436</v>
      </c>
      <c r="N60" s="167">
        <f t="shared" si="25"/>
        <v>-0.2169000593822385</v>
      </c>
      <c r="O60" s="167">
        <f t="shared" si="26"/>
        <v>-0.43539777288836934</v>
      </c>
      <c r="P60" s="167">
        <f t="shared" si="27"/>
        <v>-0.42750063563964347</v>
      </c>
    </row>
    <row r="61" spans="1:16" ht="15.75" customHeight="1" x14ac:dyDescent="0.2">
      <c r="A61" s="160">
        <f t="shared" ca="1" si="16"/>
        <v>-0.59318990293163154</v>
      </c>
      <c r="B61" s="161">
        <f t="shared" si="14"/>
        <v>58</v>
      </c>
      <c r="C61" s="162">
        <f t="shared" ca="1" si="17"/>
        <v>-3.9781194676921285</v>
      </c>
      <c r="D61" s="162">
        <f t="shared" ca="1" si="18"/>
        <v>1.4984755086529531</v>
      </c>
      <c r="E61" s="162">
        <f t="shared" ca="1" si="19"/>
        <v>-7.1114387301624848</v>
      </c>
      <c r="F61" s="163">
        <f t="shared" ca="1" si="20"/>
        <v>-1.9626181068784836</v>
      </c>
      <c r="G61" s="160">
        <f t="shared" ca="1" si="15"/>
        <v>1.8305082582122281</v>
      </c>
      <c r="H61" s="174">
        <f t="shared" ca="1" si="21"/>
        <v>7.0848044106527048</v>
      </c>
      <c r="I61" s="185" t="s">
        <v>599</v>
      </c>
      <c r="J61" s="61">
        <f>'1.RETURNS'!D62*100</f>
        <v>-0.28929542546789916</v>
      </c>
      <c r="K61" s="61">
        <f t="shared" si="22"/>
        <v>0.14490462026874829</v>
      </c>
      <c r="L61" s="61">
        <f t="shared" si="23"/>
        <v>-0.43420004573664744</v>
      </c>
      <c r="M61" s="162">
        <f t="shared" si="24"/>
        <v>-0.40102138392219822</v>
      </c>
      <c r="N61" s="162">
        <f t="shared" si="25"/>
        <v>0.11172595845429907</v>
      </c>
      <c r="O61" s="162">
        <f t="shared" si="26"/>
        <v>-0.50950245718885245</v>
      </c>
      <c r="P61" s="162">
        <f t="shared" si="27"/>
        <v>0.22020703172095329</v>
      </c>
    </row>
    <row r="62" spans="1:16" ht="15.75" customHeight="1" x14ac:dyDescent="0.2">
      <c r="A62" s="152">
        <f t="shared" ca="1" si="16"/>
        <v>0.95697262775564607</v>
      </c>
      <c r="B62" s="166">
        <f t="shared" si="14"/>
        <v>59</v>
      </c>
      <c r="C62" s="167">
        <f t="shared" ca="1" si="17"/>
        <v>-2.8222408665518759</v>
      </c>
      <c r="D62" s="167">
        <f t="shared" ca="1" si="18"/>
        <v>1.5746365506991433</v>
      </c>
      <c r="E62" s="167">
        <f t="shared" ca="1" si="19"/>
        <v>-6.617484756419814</v>
      </c>
      <c r="F62" s="168">
        <f t="shared" ca="1" si="20"/>
        <v>0.49395397374267108</v>
      </c>
      <c r="G62" s="152">
        <f t="shared" ca="1" si="15"/>
        <v>0.29328076995058378</v>
      </c>
      <c r="H62" s="175">
        <f t="shared" ca="1" si="21"/>
        <v>8.3052007408192132</v>
      </c>
      <c r="I62" s="182" t="s">
        <v>600</v>
      </c>
      <c r="J62" s="61">
        <f>'1.RETURNS'!D63*100</f>
        <v>0.35960394652092031</v>
      </c>
      <c r="K62" s="61">
        <f t="shared" si="22"/>
        <v>4.8580740627882403E-2</v>
      </c>
      <c r="L62" s="61">
        <f t="shared" si="23"/>
        <v>0.31102320589303789</v>
      </c>
      <c r="M62" s="167">
        <f t="shared" si="24"/>
        <v>0.29024696048740561</v>
      </c>
      <c r="N62" s="167">
        <f t="shared" si="25"/>
        <v>6.9356986033514714E-2</v>
      </c>
      <c r="O62" s="167">
        <f t="shared" si="26"/>
        <v>0.22290432689045464</v>
      </c>
      <c r="P62" s="167">
        <f t="shared" si="27"/>
        <v>0.13669961963046565</v>
      </c>
    </row>
    <row r="63" spans="1:16" ht="15.75" customHeight="1" x14ac:dyDescent="0.2">
      <c r="A63" s="160">
        <f t="shared" ca="1" si="16"/>
        <v>2.3366526499859694</v>
      </c>
      <c r="B63" s="161">
        <f t="shared" si="14"/>
        <v>60</v>
      </c>
      <c r="C63" s="162">
        <f t="shared" ca="1" si="17"/>
        <v>-0.34447617323831237</v>
      </c>
      <c r="D63" s="162">
        <f t="shared" ca="1" si="18"/>
        <v>0.54427726002673316</v>
      </c>
      <c r="E63" s="162">
        <f t="shared" ca="1" si="19"/>
        <v>-6.2583560774897444</v>
      </c>
      <c r="F63" s="163">
        <f t="shared" ca="1" si="20"/>
        <v>0.35912867893006961</v>
      </c>
      <c r="G63" s="160">
        <f t="shared" ca="1" si="15"/>
        <v>0.33898072106132454</v>
      </c>
      <c r="H63" s="174">
        <f t="shared" ca="1" si="21"/>
        <v>8.4342179638049846</v>
      </c>
      <c r="I63" s="187" t="s">
        <v>601</v>
      </c>
      <c r="J63" s="61">
        <f>'1.RETURNS'!D64*100</f>
        <v>1.009262684375511</v>
      </c>
      <c r="K63" s="61">
        <f t="shared" si="22"/>
        <v>-6.038749498524032E-2</v>
      </c>
      <c r="L63" s="61">
        <f t="shared" si="23"/>
        <v>1.0696501793607514</v>
      </c>
      <c r="M63" s="162">
        <f t="shared" si="24"/>
        <v>1.0594611405972387</v>
      </c>
      <c r="N63" s="162">
        <f t="shared" si="25"/>
        <v>-5.0198456221727618E-2</v>
      </c>
      <c r="O63" s="162">
        <f t="shared" si="26"/>
        <v>1.1082016703953308</v>
      </c>
      <c r="P63" s="162">
        <f t="shared" si="27"/>
        <v>-9.8938986019819763E-2</v>
      </c>
    </row>
  </sheetData>
  <mergeCells count="3">
    <mergeCell ref="B2:G2"/>
    <mergeCell ref="J2:L2"/>
    <mergeCell ref="M2:P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53"/>
  <sheetViews>
    <sheetView showGridLines="0" zoomScaleNormal="100" workbookViewId="0">
      <selection activeCell="B3" sqref="B3"/>
    </sheetView>
  </sheetViews>
  <sheetFormatPr baseColWidth="10" defaultColWidth="8.6640625" defaultRowHeight="16" x14ac:dyDescent="0.2"/>
  <cols>
    <col min="1" max="1" width="2" style="61" customWidth="1"/>
    <col min="2" max="3" width="14" style="61" customWidth="1"/>
    <col min="4" max="5" width="16" style="61" customWidth="1"/>
    <col min="6" max="6" width="30.6640625" style="61" customWidth="1"/>
    <col min="7" max="7" width="18.83203125" style="61" customWidth="1"/>
    <col min="8" max="8" width="56.6640625" style="71" customWidth="1"/>
    <col min="9" max="9" width="15.6640625" style="61" customWidth="1"/>
    <col min="10" max="10" width="12.5" style="61" customWidth="1"/>
    <col min="11" max="11" width="14.5" style="61" customWidth="1"/>
    <col min="12" max="13" width="8.6640625" style="61"/>
    <col min="14" max="17" width="15" style="61" customWidth="1"/>
    <col min="18" max="18" width="12" style="61" customWidth="1"/>
    <col min="19" max="19" width="17.5" style="61" customWidth="1"/>
    <col min="20" max="20" width="56.6640625" style="61" customWidth="1"/>
    <col min="21" max="21" width="35" style="61" customWidth="1"/>
    <col min="22" max="25" width="13.6640625" style="61" customWidth="1"/>
    <col min="26" max="27" width="9.1640625" style="61" customWidth="1"/>
    <col min="28" max="16384" width="8.6640625" style="61"/>
  </cols>
  <sheetData>
    <row r="1" spans="1:27" ht="16" customHeight="1" thickBot="1" x14ac:dyDescent="0.25">
      <c r="G1" s="62" t="s">
        <v>602</v>
      </c>
      <c r="H1" s="63" t="s">
        <v>603</v>
      </c>
      <c r="I1" s="64">
        <v>3.0000000000000001E-6</v>
      </c>
      <c r="J1" s="65" t="s">
        <v>604</v>
      </c>
      <c r="K1" s="66">
        <v>0.1</v>
      </c>
      <c r="L1" s="65" t="s">
        <v>605</v>
      </c>
      <c r="M1" s="66">
        <v>0.85</v>
      </c>
      <c r="N1" s="67" t="s">
        <v>606</v>
      </c>
      <c r="O1" s="61" t="s">
        <v>607</v>
      </c>
      <c r="P1" s="68">
        <v>0.95</v>
      </c>
      <c r="Q1" s="61" t="s">
        <v>608</v>
      </c>
      <c r="R1" s="68">
        <v>0.99</v>
      </c>
      <c r="U1" s="67" t="s">
        <v>609</v>
      </c>
    </row>
    <row r="2" spans="1:27" ht="17" customHeight="1" thickBot="1" x14ac:dyDescent="0.25">
      <c r="B2" s="60" t="s">
        <v>610</v>
      </c>
      <c r="C2" s="69"/>
      <c r="D2" s="69"/>
      <c r="E2" s="69"/>
      <c r="F2" s="69"/>
      <c r="G2" s="70"/>
      <c r="I2" s="72" t="s">
        <v>611</v>
      </c>
      <c r="N2" s="67" t="s">
        <v>612</v>
      </c>
    </row>
    <row r="3" spans="1:27" s="71" customFormat="1" ht="41" customHeight="1" thickBot="1" x14ac:dyDescent="0.25">
      <c r="A3" s="73"/>
      <c r="B3" s="73" t="s">
        <v>30</v>
      </c>
      <c r="C3" s="73" t="s">
        <v>324</v>
      </c>
      <c r="D3" s="73" t="s">
        <v>613</v>
      </c>
      <c r="E3" s="73" t="s">
        <v>614</v>
      </c>
      <c r="F3" s="74" t="s">
        <v>615</v>
      </c>
      <c r="G3" s="75" t="s">
        <v>616</v>
      </c>
      <c r="I3" s="76" t="s">
        <v>617</v>
      </c>
      <c r="J3" s="77" t="s">
        <v>618</v>
      </c>
      <c r="K3" s="78" t="s">
        <v>619</v>
      </c>
      <c r="N3" s="79" t="s">
        <v>620</v>
      </c>
      <c r="O3" s="80" t="s">
        <v>621</v>
      </c>
      <c r="P3" s="81" t="s">
        <v>622</v>
      </c>
      <c r="Q3" s="81" t="s">
        <v>623</v>
      </c>
      <c r="R3" s="82" t="s">
        <v>624</v>
      </c>
      <c r="S3" s="83" t="s">
        <v>625</v>
      </c>
      <c r="U3" s="84" t="s">
        <v>626</v>
      </c>
      <c r="V3" s="85" t="s">
        <v>627</v>
      </c>
      <c r="W3" s="86" t="s">
        <v>628</v>
      </c>
      <c r="Z3" s="87" t="s">
        <v>629</v>
      </c>
      <c r="AA3" s="87" t="s">
        <v>630</v>
      </c>
    </row>
    <row r="4" spans="1:27" ht="17" x14ac:dyDescent="0.2">
      <c r="B4" s="88" t="str">
        <f>'1.RETURNS'!A5</f>
        <v>03-Jan-2023</v>
      </c>
      <c r="C4" s="226">
        <f>'1.RETURNS'!D5</f>
        <v>5.8848723437282197E-3</v>
      </c>
      <c r="D4" s="89" t="s">
        <v>631</v>
      </c>
      <c r="E4" s="89" t="s">
        <v>631</v>
      </c>
      <c r="F4" s="90" t="str">
        <f>IF(E4="—","",IF(E4&gt;=0.25,"■ HIGH VOLATILITY",IF(E4&gt;=0.17,"▲ ELEVATED","")))</f>
        <v/>
      </c>
      <c r="G4" s="91">
        <f>C4^2</f>
        <v>3.4631722501977267E-5</v>
      </c>
      <c r="H4" s="92" t="s">
        <v>632</v>
      </c>
      <c r="I4" s="227">
        <f>$I$1/(1-$K$1-$M$1)</f>
        <v>5.9999999999999947E-5</v>
      </c>
      <c r="J4" s="93">
        <f>SQRT(I4)*100</f>
        <v>0.77459666924148307</v>
      </c>
      <c r="K4" s="94">
        <f t="shared" ref="K4:K67" si="0">J4*SQRT(252)</f>
        <v>12.296340919151513</v>
      </c>
      <c r="L4" s="225">
        <f>K4/100</f>
        <v>0.12296340919151513</v>
      </c>
      <c r="N4" s="95">
        <f>-_xlfn.NORM.S.INV(1-$P$1)*J4</f>
        <v>1.2740981408263827</v>
      </c>
      <c r="O4" s="95">
        <f t="shared" ref="O4:O67" si="1">-_xlfn.NORM.S.INV(1-$R$1)*J4</f>
        <v>1.8019813147290404</v>
      </c>
      <c r="P4" s="95">
        <f t="shared" ref="P4:P67" si="2">_xlfn.NORM.S.DIST(_xlfn.NORM.S.INV(1-$P$1),FALSE)/(1-$P$1)*J4</f>
        <v>1.5977704702970024</v>
      </c>
      <c r="Q4" s="95">
        <f t="shared" ref="Q4:Q67" si="3">_xlfn.NORM.S.DIST(_xlfn.NORM.S.INV(1-$R$1),FALSE)/(1-$R$1)*J4</f>
        <v>2.0644660578948972</v>
      </c>
      <c r="R4" s="96">
        <f>IF(C4*100&lt;-N4,1,0)</f>
        <v>0</v>
      </c>
      <c r="S4" s="96">
        <f>IF(C4*100&lt;-O4,1,0)</f>
        <v>0</v>
      </c>
      <c r="T4" s="61" t="s">
        <v>633</v>
      </c>
      <c r="U4" s="97" t="s">
        <v>634</v>
      </c>
      <c r="V4" s="61">
        <f>COUNTA(C4:C253)</f>
        <v>250</v>
      </c>
      <c r="W4" s="98">
        <f>V4</f>
        <v>250</v>
      </c>
      <c r="Z4" s="61">
        <f t="shared" ref="Z4:Z67" si="4">-N4</f>
        <v>-1.2740981408263827</v>
      </c>
      <c r="AA4" s="61">
        <f t="shared" ref="AA4:AA67" si="5">-O4</f>
        <v>-1.8019813147290404</v>
      </c>
    </row>
    <row r="5" spans="1:27" ht="29" customHeight="1" x14ac:dyDescent="0.2">
      <c r="B5" s="99" t="str">
        <f>'1.RETURNS'!A6</f>
        <v>04-Jan-2023</v>
      </c>
      <c r="C5" s="226">
        <f>'1.RETURNS'!D6</f>
        <v>-1.2113657639155101E-3</v>
      </c>
      <c r="D5" s="100" t="s">
        <v>631</v>
      </c>
      <c r="E5" s="100" t="s">
        <v>631</v>
      </c>
      <c r="F5" s="90" t="str">
        <f t="shared" ref="F5:F68" si="6">IF(E5="—","",IF(E5&gt;=0.25,"■ HIGH VOLATILITY",IF(E5&gt;=0.17,"▲ ELEVATED","")))</f>
        <v/>
      </c>
      <c r="G5" s="61">
        <f t="shared" ref="G5:G68" si="7">C5^2</f>
        <v>1.4674070139866073E-6</v>
      </c>
      <c r="H5" s="101" t="s">
        <v>635</v>
      </c>
      <c r="I5" s="91">
        <f>$I$1+$K$1*G4+$M$1*I4</f>
        <v>5.7463172250197682E-5</v>
      </c>
      <c r="J5" s="93">
        <f>SQRT(I5)*100</f>
        <v>0.75804467051881375</v>
      </c>
      <c r="K5" s="94">
        <f t="shared" si="0"/>
        <v>12.033586085224062</v>
      </c>
      <c r="L5" s="225">
        <f t="shared" ref="L5:L68" si="8">K5/100</f>
        <v>0.12033586085224063</v>
      </c>
      <c r="N5" s="95">
        <f>-_xlfn.NORM.S.INV(1-$P$1)*J5</f>
        <v>1.246872525694104</v>
      </c>
      <c r="O5" s="95">
        <f t="shared" si="1"/>
        <v>1.763475607689432</v>
      </c>
      <c r="P5" s="95">
        <f t="shared" si="2"/>
        <v>1.5636284505419058</v>
      </c>
      <c r="Q5" s="95">
        <f t="shared" si="3"/>
        <v>2.0203514355240935</v>
      </c>
      <c r="R5" s="96">
        <f t="shared" ref="R5:R68" si="9">IF(C5*100&lt;-N5,1,0)</f>
        <v>0</v>
      </c>
      <c r="S5" s="96">
        <f t="shared" ref="S5:S68" si="10">IF(C5*100&lt;-O5,1,0)</f>
        <v>0</v>
      </c>
      <c r="T5" s="61" t="s">
        <v>636</v>
      </c>
      <c r="U5" s="97" t="s">
        <v>637</v>
      </c>
      <c r="V5" s="102">
        <f>1-$P$1</f>
        <v>5.0000000000000044E-2</v>
      </c>
      <c r="W5" s="103">
        <f>1-$R$1</f>
        <v>1.0000000000000009E-2</v>
      </c>
      <c r="Z5" s="61">
        <f t="shared" si="4"/>
        <v>-1.246872525694104</v>
      </c>
      <c r="AA5" s="61">
        <f t="shared" si="5"/>
        <v>-1.763475607689432</v>
      </c>
    </row>
    <row r="6" spans="1:27" ht="29" customHeight="1" x14ac:dyDescent="0.2">
      <c r="B6" s="104" t="str">
        <f>'1.RETURNS'!A7</f>
        <v>05-Jan-2023</v>
      </c>
      <c r="C6" s="226">
        <f>'1.RETURNS'!D7</f>
        <v>6.6707917430471964E-3</v>
      </c>
      <c r="D6" s="89" t="s">
        <v>631</v>
      </c>
      <c r="E6" s="89" t="s">
        <v>631</v>
      </c>
      <c r="F6" s="90" t="str">
        <f t="shared" si="6"/>
        <v/>
      </c>
      <c r="G6" s="61">
        <f>C6^2</f>
        <v>4.4499462479106656E-5</v>
      </c>
      <c r="H6" s="101" t="s">
        <v>728</v>
      </c>
      <c r="I6" s="61">
        <f t="shared" ref="I5:I68" si="11">$I$1+$K$1*G5+$M$1*I5</f>
        <v>5.1990437114066692E-5</v>
      </c>
      <c r="J6" s="61">
        <f t="shared" ref="J4:J67" si="12">SQRT(I6)*100</f>
        <v>0.7210439453602443</v>
      </c>
      <c r="K6" s="61">
        <f t="shared" si="0"/>
        <v>11.446217782632308</v>
      </c>
      <c r="L6" s="225">
        <f t="shared" si="8"/>
        <v>0.11446217782632308</v>
      </c>
      <c r="N6" s="95">
        <f>-_xlfn.NORM.S.INV(1-$P$1)*J6</f>
        <v>1.1860117487171964</v>
      </c>
      <c r="O6" s="95">
        <f t="shared" si="1"/>
        <v>1.6773990493788244</v>
      </c>
      <c r="P6" s="95">
        <f t="shared" si="2"/>
        <v>1.4873065808702624</v>
      </c>
      <c r="Q6" s="95">
        <f t="shared" si="3"/>
        <v>1.9217365766683674</v>
      </c>
      <c r="R6" s="96">
        <f t="shared" si="9"/>
        <v>0</v>
      </c>
      <c r="S6" s="96">
        <f t="shared" si="10"/>
        <v>0</v>
      </c>
      <c r="T6" s="61" t="s">
        <v>638</v>
      </c>
      <c r="U6" s="97" t="s">
        <v>639</v>
      </c>
      <c r="V6" s="105">
        <f>V4*V5</f>
        <v>12.500000000000011</v>
      </c>
      <c r="W6" s="106">
        <f>W4*W5</f>
        <v>2.5000000000000022</v>
      </c>
      <c r="Z6" s="61">
        <f t="shared" si="4"/>
        <v>-1.1860117487171964</v>
      </c>
      <c r="AA6" s="61">
        <f t="shared" si="5"/>
        <v>-1.6773990493788244</v>
      </c>
    </row>
    <row r="7" spans="1:27" ht="29" customHeight="1" x14ac:dyDescent="0.2">
      <c r="B7" s="99" t="str">
        <f>'1.RETURNS'!A8</f>
        <v>06-Jan-2023</v>
      </c>
      <c r="C7" s="226">
        <f>'1.RETURNS'!D8</f>
        <v>1.6065486617628962E-2</v>
      </c>
      <c r="D7" s="100" t="s">
        <v>631</v>
      </c>
      <c r="E7" s="100" t="s">
        <v>631</v>
      </c>
      <c r="F7" s="90" t="str">
        <f t="shared" si="6"/>
        <v/>
      </c>
      <c r="G7" s="61">
        <f t="shared" si="7"/>
        <v>2.5809986026121526E-4</v>
      </c>
      <c r="H7" s="101" t="s">
        <v>640</v>
      </c>
      <c r="I7" s="61">
        <f>$I$1+$K$1*G6+$M$1*I6</f>
        <v>5.164181779486735E-5</v>
      </c>
      <c r="J7" s="61">
        <f t="shared" si="12"/>
        <v>0.71862241681475092</v>
      </c>
      <c r="K7" s="61">
        <f t="shared" si="0"/>
        <v>11.407777208688191</v>
      </c>
      <c r="L7" s="225">
        <f t="shared" si="8"/>
        <v>0.11407777208688191</v>
      </c>
      <c r="N7" s="95">
        <f t="shared" ref="N4:N67" si="13">-_xlfn.NORM.S.INV(1-$P$1)*J7</f>
        <v>1.1820286887063751</v>
      </c>
      <c r="O7" s="95">
        <f t="shared" si="1"/>
        <v>1.6717657315950867</v>
      </c>
      <c r="P7" s="95">
        <f t="shared" si="2"/>
        <v>1.4823116629257282</v>
      </c>
      <c r="Q7" s="95">
        <f t="shared" si="3"/>
        <v>1.915282684353945</v>
      </c>
      <c r="R7" s="96">
        <f t="shared" si="9"/>
        <v>0</v>
      </c>
      <c r="S7" s="96">
        <f t="shared" si="10"/>
        <v>0</v>
      </c>
      <c r="U7" s="97" t="s">
        <v>641</v>
      </c>
      <c r="V7" s="61">
        <f>COUNTIF(R4:R253,1)</f>
        <v>18</v>
      </c>
      <c r="W7" s="98">
        <f>COUNTIF(S4:S253,1)</f>
        <v>5</v>
      </c>
      <c r="Z7" s="61">
        <f t="shared" si="4"/>
        <v>-1.1820286887063751</v>
      </c>
      <c r="AA7" s="61">
        <f t="shared" si="5"/>
        <v>-1.6717657315950867</v>
      </c>
    </row>
    <row r="8" spans="1:27" ht="16" customHeight="1" thickBot="1" x14ac:dyDescent="0.25">
      <c r="B8" s="104" t="str">
        <f>'1.RETURNS'!A9</f>
        <v>09-Jan-2023</v>
      </c>
      <c r="C8" s="226">
        <f>'1.RETURNS'!D9</f>
        <v>-2.4548761294726756E-3</v>
      </c>
      <c r="D8" s="89" t="s">
        <v>631</v>
      </c>
      <c r="E8" s="89" t="s">
        <v>631</v>
      </c>
      <c r="F8" s="90" t="str">
        <f t="shared" si="6"/>
        <v/>
      </c>
      <c r="G8" s="61">
        <f t="shared" si="7"/>
        <v>6.0264168110547443E-6</v>
      </c>
      <c r="H8" s="107"/>
      <c r="I8" s="61">
        <f t="shared" si="11"/>
        <v>7.2705531151758782E-5</v>
      </c>
      <c r="J8" s="61">
        <f t="shared" si="12"/>
        <v>0.85267538460869607</v>
      </c>
      <c r="K8" s="61">
        <f t="shared" si="0"/>
        <v>13.535802100445771</v>
      </c>
      <c r="L8" s="225">
        <f t="shared" si="8"/>
        <v>0.13535802100445771</v>
      </c>
      <c r="N8" s="95">
        <f t="shared" si="13"/>
        <v>1.4025261989858546</v>
      </c>
      <c r="O8" s="95">
        <f t="shared" si="1"/>
        <v>1.9836195682313964</v>
      </c>
      <c r="P8" s="95">
        <f t="shared" si="2"/>
        <v>1.7588244364786798</v>
      </c>
      <c r="Q8" s="95">
        <f t="shared" si="3"/>
        <v>2.272562560397926</v>
      </c>
      <c r="R8" s="96">
        <f t="shared" si="9"/>
        <v>0</v>
      </c>
      <c r="S8" s="96">
        <f t="shared" si="10"/>
        <v>0</v>
      </c>
      <c r="T8" s="61" t="s">
        <v>642</v>
      </c>
      <c r="U8" s="97" t="s">
        <v>643</v>
      </c>
      <c r="V8" s="102">
        <f>V7/V4</f>
        <v>7.1999999999999995E-2</v>
      </c>
      <c r="W8" s="103">
        <f>W7/W4</f>
        <v>0.02</v>
      </c>
      <c r="Z8" s="61">
        <f t="shared" si="4"/>
        <v>-1.4025261989858546</v>
      </c>
      <c r="AA8" s="61">
        <f t="shared" si="5"/>
        <v>-1.9836195682313964</v>
      </c>
    </row>
    <row r="9" spans="1:27" ht="29" customHeight="1" x14ac:dyDescent="0.2">
      <c r="B9" s="99" t="str">
        <f>'1.RETURNS'!A10</f>
        <v>10-Jan-2023</v>
      </c>
      <c r="C9" s="226">
        <f>'1.RETURNS'!D10</f>
        <v>-2.0112502237132545E-3</v>
      </c>
      <c r="D9" s="100" t="s">
        <v>631</v>
      </c>
      <c r="E9" s="100" t="s">
        <v>631</v>
      </c>
      <c r="F9" s="90" t="str">
        <f t="shared" si="6"/>
        <v/>
      </c>
      <c r="G9" s="61">
        <f t="shared" si="7"/>
        <v>4.0451274623866167E-6</v>
      </c>
      <c r="H9" s="92" t="s">
        <v>644</v>
      </c>
      <c r="I9" s="61">
        <f>$I$1+$K$1*G8+$M$1*I8</f>
        <v>6.5402343160100442E-5</v>
      </c>
      <c r="J9" s="61">
        <f>SQRT(I9)*100</f>
        <v>0.8087171517910352</v>
      </c>
      <c r="K9" s="61">
        <f t="shared" si="0"/>
        <v>12.837986787789317</v>
      </c>
      <c r="L9" s="225">
        <f t="shared" si="8"/>
        <v>0.12837986787789318</v>
      </c>
      <c r="N9" s="95">
        <f t="shared" si="13"/>
        <v>1.3302213403013481</v>
      </c>
      <c r="O9" s="95">
        <f t="shared" si="1"/>
        <v>1.8813574267694386</v>
      </c>
      <c r="P9" s="95">
        <f t="shared" si="2"/>
        <v>1.6681512266502974</v>
      </c>
      <c r="Q9" s="95">
        <f t="shared" si="3"/>
        <v>2.1554044531910246</v>
      </c>
      <c r="R9" s="96">
        <f t="shared" si="9"/>
        <v>0</v>
      </c>
      <c r="S9" s="96">
        <f t="shared" si="10"/>
        <v>0</v>
      </c>
      <c r="T9" s="61" t="s">
        <v>645</v>
      </c>
      <c r="U9" s="97" t="s">
        <v>646</v>
      </c>
      <c r="V9" s="108">
        <f>IFERROR(2*(V7*LN(V8/V5)+(V4-V7)*LN((1-V8)/(1-V5))),"N/A")</f>
        <v>2.2555152500736497</v>
      </c>
      <c r="W9" s="109">
        <f>IFERROR(2*(W7*LN(W8/W5)+(W4-W7)*LN((1-W8)/(1-W5))),"N/A")</f>
        <v>1.9568097882306432</v>
      </c>
      <c r="Z9" s="61">
        <f t="shared" si="4"/>
        <v>-1.3302213403013481</v>
      </c>
      <c r="AA9" s="61">
        <f t="shared" si="5"/>
        <v>-1.8813574267694386</v>
      </c>
    </row>
    <row r="10" spans="1:27" ht="29" customHeight="1" x14ac:dyDescent="0.2">
      <c r="B10" s="104" t="str">
        <f>'1.RETURNS'!A11</f>
        <v>11-Jan-2023</v>
      </c>
      <c r="C10" s="226">
        <f>'1.RETURNS'!D11</f>
        <v>1.5334302622674396E-2</v>
      </c>
      <c r="D10" s="89" t="s">
        <v>631</v>
      </c>
      <c r="E10" s="89" t="s">
        <v>631</v>
      </c>
      <c r="F10" s="90" t="str">
        <f t="shared" si="6"/>
        <v/>
      </c>
      <c r="G10" s="61">
        <f t="shared" si="7"/>
        <v>2.3514083692375884E-4</v>
      </c>
      <c r="H10" s="101" t="s">
        <v>647</v>
      </c>
      <c r="I10" s="61">
        <f t="shared" si="11"/>
        <v>5.8996504432324032E-5</v>
      </c>
      <c r="J10" s="61">
        <f t="shared" si="12"/>
        <v>0.76809182024237199</v>
      </c>
      <c r="K10" s="61">
        <f t="shared" si="0"/>
        <v>12.193079642545461</v>
      </c>
      <c r="L10" s="225">
        <f t="shared" si="8"/>
        <v>0.12193079642545461</v>
      </c>
      <c r="N10" s="95">
        <f t="shared" si="13"/>
        <v>1.2633986163574233</v>
      </c>
      <c r="O10" s="95">
        <f t="shared" si="1"/>
        <v>1.7868487730890017</v>
      </c>
      <c r="P10" s="95">
        <f t="shared" si="2"/>
        <v>1.5843528349556342</v>
      </c>
      <c r="Q10" s="95">
        <f t="shared" si="3"/>
        <v>2.0471292418412643</v>
      </c>
      <c r="R10" s="96">
        <f t="shared" si="9"/>
        <v>0</v>
      </c>
      <c r="S10" s="96">
        <f t="shared" si="10"/>
        <v>0</v>
      </c>
      <c r="U10" s="97" t="s">
        <v>648</v>
      </c>
      <c r="V10" s="110">
        <v>3.8410000000000002</v>
      </c>
      <c r="W10" s="111">
        <v>3.8410000000000002</v>
      </c>
      <c r="Z10" s="61">
        <f t="shared" si="4"/>
        <v>-1.2633986163574233</v>
      </c>
      <c r="AA10" s="61">
        <f t="shared" si="5"/>
        <v>-1.7868487730890017</v>
      </c>
    </row>
    <row r="11" spans="1:27" ht="34" x14ac:dyDescent="0.2">
      <c r="B11" s="99" t="str">
        <f>'1.RETURNS'!A12</f>
        <v>12-Jan-2023</v>
      </c>
      <c r="C11" s="226">
        <f>'1.RETURNS'!D12</f>
        <v>8.8748844487809755E-3</v>
      </c>
      <c r="D11" s="100" t="s">
        <v>631</v>
      </c>
      <c r="E11" s="100" t="s">
        <v>631</v>
      </c>
      <c r="F11" s="90" t="str">
        <f t="shared" si="6"/>
        <v/>
      </c>
      <c r="G11" s="61">
        <f t="shared" si="7"/>
        <v>7.8763573979214396E-5</v>
      </c>
      <c r="H11" s="101" t="s">
        <v>649</v>
      </c>
      <c r="I11" s="61">
        <f t="shared" si="11"/>
        <v>7.6661112459851304E-5</v>
      </c>
      <c r="J11" s="61">
        <f t="shared" si="12"/>
        <v>0.87556331844048441</v>
      </c>
      <c r="K11" s="61">
        <f t="shared" si="0"/>
        <v>13.899136786103853</v>
      </c>
      <c r="L11" s="225">
        <f t="shared" si="8"/>
        <v>0.13899136786103852</v>
      </c>
      <c r="N11" s="95">
        <f t="shared" si="13"/>
        <v>1.4401734999624971</v>
      </c>
      <c r="O11" s="95">
        <f t="shared" si="1"/>
        <v>2.0368648644421645</v>
      </c>
      <c r="P11" s="95">
        <f t="shared" si="2"/>
        <v>1.8060356707308922</v>
      </c>
      <c r="Q11" s="95">
        <f t="shared" si="3"/>
        <v>2.3335638071207421</v>
      </c>
      <c r="R11" s="96">
        <f t="shared" si="9"/>
        <v>0</v>
      </c>
      <c r="S11" s="96">
        <f t="shared" si="10"/>
        <v>0</v>
      </c>
      <c r="T11" s="61" t="s">
        <v>650</v>
      </c>
      <c r="U11" s="112" t="s">
        <v>651</v>
      </c>
      <c r="V11" s="113" t="str">
        <f>IF(ISNUMBER(V9),IF(V9&lt;=V10,"✓ PASS","✗ FAIL"),"N/A")</f>
        <v>✓ PASS</v>
      </c>
      <c r="W11" s="114" t="str">
        <f>IF(ISNUMBER(W9),IF(W9&lt;=W10,"✓ PASS","✗ FAIL"),"N/A")</f>
        <v>✓ PASS</v>
      </c>
      <c r="Z11" s="61">
        <f t="shared" si="4"/>
        <v>-1.4401734999624971</v>
      </c>
      <c r="AA11" s="61">
        <f t="shared" si="5"/>
        <v>-2.0368648644421645</v>
      </c>
    </row>
    <row r="12" spans="1:27" ht="29" customHeight="1" x14ac:dyDescent="0.2">
      <c r="B12" s="104" t="str">
        <f>'1.RETURNS'!A13</f>
        <v>13-Jan-2023</v>
      </c>
      <c r="C12" s="226">
        <f>'1.RETURNS'!D13</f>
        <v>-4.8215906453202137E-3</v>
      </c>
      <c r="D12" s="89" t="s">
        <v>631</v>
      </c>
      <c r="E12" s="89" t="s">
        <v>631</v>
      </c>
      <c r="F12" s="90" t="str">
        <f t="shared" si="6"/>
        <v/>
      </c>
      <c r="G12" s="61">
        <f t="shared" si="7"/>
        <v>2.3247736351039394E-5</v>
      </c>
      <c r="H12" s="115" t="s">
        <v>652</v>
      </c>
      <c r="I12" s="61">
        <f t="shared" si="11"/>
        <v>7.6038302988795057E-5</v>
      </c>
      <c r="J12" s="61">
        <f t="shared" si="12"/>
        <v>0.87199944374291349</v>
      </c>
      <c r="K12" s="61">
        <f t="shared" si="0"/>
        <v>13.842562029182442</v>
      </c>
      <c r="L12" s="225">
        <f t="shared" si="8"/>
        <v>0.13842562029182442</v>
      </c>
      <c r="N12" s="95">
        <f t="shared" si="13"/>
        <v>1.4343114477401968</v>
      </c>
      <c r="O12" s="95">
        <f t="shared" si="1"/>
        <v>2.0285740521161224</v>
      </c>
      <c r="P12" s="95">
        <f t="shared" si="2"/>
        <v>1.7986844207478609</v>
      </c>
      <c r="Q12" s="95">
        <f t="shared" si="3"/>
        <v>2.3240653175972454</v>
      </c>
      <c r="R12" s="96">
        <f t="shared" si="9"/>
        <v>0</v>
      </c>
      <c r="S12" s="96">
        <f t="shared" si="10"/>
        <v>0</v>
      </c>
      <c r="T12" s="61" t="s">
        <v>653</v>
      </c>
      <c r="Z12" s="61">
        <f t="shared" si="4"/>
        <v>-1.4343114477401968</v>
      </c>
      <c r="AA12" s="61">
        <f t="shared" si="5"/>
        <v>-2.0285740521161224</v>
      </c>
    </row>
    <row r="13" spans="1:27" ht="29" customHeight="1" x14ac:dyDescent="0.2">
      <c r="B13" s="99" t="str">
        <f>'1.RETURNS'!A14</f>
        <v>16-Jan-2023</v>
      </c>
      <c r="C13" s="226">
        <f>'1.RETURNS'!D14</f>
        <v>5.5124296395039872E-3</v>
      </c>
      <c r="D13" s="100" t="s">
        <v>631</v>
      </c>
      <c r="E13" s="100" t="s">
        <v>631</v>
      </c>
      <c r="F13" s="90" t="str">
        <f t="shared" si="6"/>
        <v/>
      </c>
      <c r="G13" s="61">
        <f t="shared" si="7"/>
        <v>3.0386880530482058E-5</v>
      </c>
      <c r="H13" s="115" t="s">
        <v>654</v>
      </c>
      <c r="I13" s="61">
        <f t="shared" si="11"/>
        <v>6.9957331175579738E-5</v>
      </c>
      <c r="J13" s="61">
        <f t="shared" si="12"/>
        <v>0.83640499266551327</v>
      </c>
      <c r="K13" s="61">
        <f t="shared" si="0"/>
        <v>13.277517635554506</v>
      </c>
      <c r="L13" s="225">
        <f t="shared" si="8"/>
        <v>0.13277517635554506</v>
      </c>
      <c r="N13" s="95">
        <f t="shared" si="13"/>
        <v>1.3757637857861884</v>
      </c>
      <c r="O13" s="95">
        <f t="shared" si="1"/>
        <v>1.9457689765245618</v>
      </c>
      <c r="P13" s="95">
        <f t="shared" si="2"/>
        <v>1.7252632906343108</v>
      </c>
      <c r="Q13" s="95">
        <f t="shared" si="3"/>
        <v>2.2291984804203553</v>
      </c>
      <c r="R13" s="96">
        <f t="shared" si="9"/>
        <v>0</v>
      </c>
      <c r="S13" s="96">
        <f t="shared" si="10"/>
        <v>0</v>
      </c>
      <c r="T13" s="61" t="s">
        <v>655</v>
      </c>
      <c r="U13" s="67" t="s">
        <v>656</v>
      </c>
      <c r="Z13" s="61">
        <f t="shared" si="4"/>
        <v>-1.3757637857861884</v>
      </c>
      <c r="AA13" s="61">
        <f t="shared" si="5"/>
        <v>-1.9457689765245618</v>
      </c>
    </row>
    <row r="14" spans="1:27" ht="16" customHeight="1" thickBot="1" x14ac:dyDescent="0.25">
      <c r="B14" s="104" t="str">
        <f>'1.RETURNS'!A15</f>
        <v>17-Jan-2023</v>
      </c>
      <c r="C14" s="226">
        <f>'1.RETURNS'!D15</f>
        <v>-4.2904899245061814E-3</v>
      </c>
      <c r="D14" s="89" t="s">
        <v>631</v>
      </c>
      <c r="E14" s="89" t="s">
        <v>631</v>
      </c>
      <c r="F14" s="90" t="str">
        <f t="shared" si="6"/>
        <v/>
      </c>
      <c r="G14" s="61">
        <f t="shared" si="7"/>
        <v>1.8408303792289058E-5</v>
      </c>
      <c r="H14" s="107"/>
      <c r="I14" s="61">
        <f t="shared" si="11"/>
        <v>6.5502419552290977E-5</v>
      </c>
      <c r="J14" s="61">
        <f t="shared" si="12"/>
        <v>0.80933565071786495</v>
      </c>
      <c r="K14" s="61">
        <f t="shared" si="0"/>
        <v>12.847805153868629</v>
      </c>
      <c r="L14" s="225">
        <f t="shared" si="8"/>
        <v>0.1284780515386863</v>
      </c>
      <c r="N14" s="95">
        <f t="shared" si="13"/>
        <v>1.3312386805044094</v>
      </c>
      <c r="O14" s="95">
        <f t="shared" si="1"/>
        <v>1.8827962704329655</v>
      </c>
      <c r="P14" s="95">
        <f t="shared" si="2"/>
        <v>1.6694270123080985</v>
      </c>
      <c r="Q14" s="95">
        <f t="shared" si="3"/>
        <v>2.1570528853260797</v>
      </c>
      <c r="R14" s="96">
        <f t="shared" si="9"/>
        <v>0</v>
      </c>
      <c r="S14" s="96">
        <f t="shared" si="10"/>
        <v>0</v>
      </c>
      <c r="T14" s="61" t="s">
        <v>657</v>
      </c>
      <c r="U14" s="116" t="s">
        <v>626</v>
      </c>
      <c r="V14" s="117" t="s">
        <v>658</v>
      </c>
      <c r="W14" s="117" t="s">
        <v>659</v>
      </c>
      <c r="X14" s="117" t="s">
        <v>660</v>
      </c>
      <c r="Y14" s="118" t="s">
        <v>661</v>
      </c>
      <c r="Z14" s="61">
        <f t="shared" si="4"/>
        <v>-1.3312386805044094</v>
      </c>
      <c r="AA14" s="61">
        <f t="shared" si="5"/>
        <v>-1.8827962704329655</v>
      </c>
    </row>
    <row r="15" spans="1:27" ht="17" x14ac:dyDescent="0.2">
      <c r="B15" s="99" t="str">
        <f>'1.RETURNS'!A16</f>
        <v>18-Jan-2023</v>
      </c>
      <c r="C15" s="226">
        <f>'1.RETURNS'!D16</f>
        <v>-4.2128306139583025E-3</v>
      </c>
      <c r="D15" s="100" t="s">
        <v>631</v>
      </c>
      <c r="E15" s="100" t="s">
        <v>631</v>
      </c>
      <c r="F15" s="90" t="str">
        <f t="shared" si="6"/>
        <v/>
      </c>
      <c r="G15" s="61">
        <f t="shared" si="7"/>
        <v>1.7747941781904288E-5</v>
      </c>
      <c r="H15" s="92" t="s">
        <v>662</v>
      </c>
      <c r="I15" s="61">
        <f t="shared" si="11"/>
        <v>6.0517886998676233E-5</v>
      </c>
      <c r="J15" s="61">
        <f t="shared" si="12"/>
        <v>0.77793243279012503</v>
      </c>
      <c r="K15" s="61">
        <f t="shared" si="0"/>
        <v>12.34929452384484</v>
      </c>
      <c r="L15" s="225">
        <f t="shared" si="8"/>
        <v>0.12349294523844839</v>
      </c>
      <c r="N15" s="95">
        <f t="shared" si="13"/>
        <v>1.2795849835980191</v>
      </c>
      <c r="O15" s="95">
        <f t="shared" si="1"/>
        <v>1.8097414611687266</v>
      </c>
      <c r="P15" s="95">
        <f t="shared" si="2"/>
        <v>1.6046511924916027</v>
      </c>
      <c r="Q15" s="95">
        <f t="shared" si="3"/>
        <v>2.0733565823404492</v>
      </c>
      <c r="R15" s="96">
        <f t="shared" si="9"/>
        <v>0</v>
      </c>
      <c r="S15" s="96">
        <f t="shared" si="10"/>
        <v>0</v>
      </c>
      <c r="U15" s="97" t="s">
        <v>663</v>
      </c>
      <c r="V15" s="108">
        <f>AVERAGE(N4:N253)</f>
        <v>1.5960232971973731</v>
      </c>
      <c r="W15" s="108">
        <f>AVERAGE(O4:O253)</f>
        <v>2.2572862068196096</v>
      </c>
      <c r="X15" s="108">
        <f>AVERAGE(P4:P253)</f>
        <v>2.0014776040046907</v>
      </c>
      <c r="Y15" s="109">
        <f>AVERAGE(Q4:Q253)</f>
        <v>2.5860927185219622</v>
      </c>
      <c r="Z15" s="61">
        <f t="shared" si="4"/>
        <v>-1.2795849835980191</v>
      </c>
      <c r="AA15" s="61">
        <f t="shared" si="5"/>
        <v>-1.8097414611687266</v>
      </c>
    </row>
    <row r="16" spans="1:27" ht="17" x14ac:dyDescent="0.2">
      <c r="B16" s="104" t="str">
        <f>'1.RETURNS'!A17</f>
        <v>19-Jan-2023</v>
      </c>
      <c r="C16" s="226">
        <f>'1.RETURNS'!D17</f>
        <v>2.5967417712656309E-3</v>
      </c>
      <c r="D16" s="89" t="s">
        <v>631</v>
      </c>
      <c r="E16" s="89" t="s">
        <v>631</v>
      </c>
      <c r="F16" s="90" t="str">
        <f t="shared" si="6"/>
        <v/>
      </c>
      <c r="G16" s="61">
        <f t="shared" si="7"/>
        <v>6.7430678266357658E-6</v>
      </c>
      <c r="H16" s="101" t="s">
        <v>664</v>
      </c>
      <c r="I16" s="61">
        <f t="shared" si="11"/>
        <v>5.6214998127065226E-5</v>
      </c>
      <c r="J16" s="61">
        <f t="shared" si="12"/>
        <v>0.74976661786895549</v>
      </c>
      <c r="K16" s="61">
        <f t="shared" si="0"/>
        <v>11.902176073315518</v>
      </c>
      <c r="L16" s="225">
        <f t="shared" si="8"/>
        <v>0.11902176073315518</v>
      </c>
      <c r="N16" s="95">
        <f t="shared" si="13"/>
        <v>1.2332563407688895</v>
      </c>
      <c r="O16" s="95">
        <f t="shared" si="1"/>
        <v>1.7442179775062361</v>
      </c>
      <c r="P16" s="95">
        <f t="shared" si="2"/>
        <v>1.5465532053198223</v>
      </c>
      <c r="Q16" s="95">
        <f t="shared" si="3"/>
        <v>1.9982886518849199</v>
      </c>
      <c r="R16" s="96">
        <f t="shared" si="9"/>
        <v>0</v>
      </c>
      <c r="S16" s="96">
        <f t="shared" si="10"/>
        <v>0</v>
      </c>
      <c r="T16" s="61" t="s">
        <v>665</v>
      </c>
      <c r="U16" s="97" t="s">
        <v>666</v>
      </c>
      <c r="V16" s="108">
        <f>MIN(N4:N253)</f>
        <v>1.1159711690024876</v>
      </c>
      <c r="W16" s="108">
        <f>MIN(O4:O253)</f>
        <v>1.5783393208740533</v>
      </c>
      <c r="X16" s="108">
        <f>MIN(P4:P253)</f>
        <v>1.3994728682191624</v>
      </c>
      <c r="Y16" s="109">
        <f>MIN(Q4:Q253)</f>
        <v>1.8082473603647371</v>
      </c>
      <c r="Z16" s="61">
        <f t="shared" si="4"/>
        <v>-1.2332563407688895</v>
      </c>
      <c r="AA16" s="61">
        <f t="shared" si="5"/>
        <v>-1.7442179775062361</v>
      </c>
    </row>
    <row r="17" spans="2:27" ht="17" x14ac:dyDescent="0.2">
      <c r="B17" s="99" t="str">
        <f>'1.RETURNS'!A18</f>
        <v>20-Jan-2023</v>
      </c>
      <c r="C17" s="226">
        <f>'1.RETURNS'!D18</f>
        <v>-1.9171552133154184E-2</v>
      </c>
      <c r="D17" s="100" t="s">
        <v>631</v>
      </c>
      <c r="E17" s="100" t="s">
        <v>631</v>
      </c>
      <c r="F17" s="90" t="str">
        <f t="shared" si="6"/>
        <v/>
      </c>
      <c r="G17" s="61">
        <f t="shared" si="7"/>
        <v>3.6754841119424872E-4</v>
      </c>
      <c r="H17" s="101" t="s">
        <v>667</v>
      </c>
      <c r="I17" s="61">
        <f t="shared" si="11"/>
        <v>5.1457055190669016E-5</v>
      </c>
      <c r="J17" s="61">
        <f t="shared" si="12"/>
        <v>0.71733573165338005</v>
      </c>
      <c r="K17" s="61">
        <f t="shared" si="0"/>
        <v>11.387351714972446</v>
      </c>
      <c r="L17" s="225">
        <f t="shared" si="8"/>
        <v>0.11387351714972446</v>
      </c>
      <c r="N17" s="95">
        <f t="shared" si="13"/>
        <v>1.1799122799519497</v>
      </c>
      <c r="O17" s="95">
        <f t="shared" si="1"/>
        <v>1.6687724543053717</v>
      </c>
      <c r="P17" s="95">
        <f t="shared" si="2"/>
        <v>1.4796576009641389</v>
      </c>
      <c r="Q17" s="95">
        <f t="shared" si="3"/>
        <v>1.9118533927647514</v>
      </c>
      <c r="R17" s="96">
        <f t="shared" si="9"/>
        <v>1</v>
      </c>
      <c r="S17" s="96">
        <f t="shared" si="10"/>
        <v>1</v>
      </c>
      <c r="T17" s="61" t="s">
        <v>668</v>
      </c>
      <c r="U17" s="97" t="s">
        <v>669</v>
      </c>
      <c r="V17" s="108">
        <f>MAX(N4:N253)</f>
        <v>3.3870916761141543</v>
      </c>
      <c r="W17" s="108">
        <f>MAX(O4:O253)</f>
        <v>4.7904283948434658</v>
      </c>
      <c r="X17" s="108">
        <f>MAX(P4:P253)</f>
        <v>4.2475496093055067</v>
      </c>
      <c r="Y17" s="109">
        <f>MAX(Q4:Q253)</f>
        <v>5.4882238473251634</v>
      </c>
      <c r="Z17" s="61">
        <f t="shared" si="4"/>
        <v>-1.1799122799519497</v>
      </c>
      <c r="AA17" s="61">
        <f t="shared" si="5"/>
        <v>-1.6687724543053717</v>
      </c>
    </row>
    <row r="18" spans="2:27" ht="29" customHeight="1" x14ac:dyDescent="0.2">
      <c r="B18" s="104" t="str">
        <f>'1.RETURNS'!A19</f>
        <v>23-Jan-2023</v>
      </c>
      <c r="C18" s="226">
        <f>'1.RETURNS'!D19</f>
        <v>-2.0470411829203214E-2</v>
      </c>
      <c r="D18" s="89" t="s">
        <v>631</v>
      </c>
      <c r="E18" s="89" t="s">
        <v>631</v>
      </c>
      <c r="F18" s="90" t="str">
        <f t="shared" si="6"/>
        <v/>
      </c>
      <c r="G18" s="61">
        <f t="shared" si="7"/>
        <v>4.1903776045718288E-4</v>
      </c>
      <c r="H18" s="115" t="s">
        <v>670</v>
      </c>
      <c r="I18" s="61">
        <f t="shared" si="11"/>
        <v>8.3493338031493538E-5</v>
      </c>
      <c r="J18" s="61">
        <f t="shared" si="12"/>
        <v>0.91374689072791682</v>
      </c>
      <c r="K18" s="61">
        <f t="shared" si="0"/>
        <v>14.505282204747475</v>
      </c>
      <c r="L18" s="225">
        <f t="shared" si="8"/>
        <v>0.14505282204747474</v>
      </c>
      <c r="N18" s="95">
        <f t="shared" si="13"/>
        <v>1.502979887329444</v>
      </c>
      <c r="O18" s="95">
        <f t="shared" si="1"/>
        <v>2.1256931366563179</v>
      </c>
      <c r="P18" s="95">
        <f t="shared" si="2"/>
        <v>1.8847974143245647</v>
      </c>
      <c r="Q18" s="95">
        <f t="shared" si="3"/>
        <v>2.435331206964809</v>
      </c>
      <c r="R18" s="96">
        <f t="shared" si="9"/>
        <v>1</v>
      </c>
      <c r="S18" s="96">
        <f t="shared" si="10"/>
        <v>0</v>
      </c>
      <c r="T18" s="61" t="s">
        <v>671</v>
      </c>
      <c r="U18" s="97" t="s">
        <v>672</v>
      </c>
      <c r="V18" s="119">
        <f>V17/V16</f>
        <v>3.0351067932531905</v>
      </c>
      <c r="W18" s="119">
        <f>W17/W16</f>
        <v>3.0351067932531901</v>
      </c>
      <c r="X18" s="119">
        <f>X17/X16</f>
        <v>3.0351067932531905</v>
      </c>
      <c r="Y18" s="120">
        <f>Y17/Y16</f>
        <v>3.0351067932531905</v>
      </c>
      <c r="Z18" s="61">
        <f t="shared" si="4"/>
        <v>-1.502979887329444</v>
      </c>
      <c r="AA18" s="61">
        <f t="shared" si="5"/>
        <v>-2.1256931366563179</v>
      </c>
    </row>
    <row r="19" spans="2:27" ht="29" customHeight="1" x14ac:dyDescent="0.2">
      <c r="B19" s="99" t="str">
        <f>'1.RETURNS'!A20</f>
        <v>24-Jan-2023</v>
      </c>
      <c r="C19" s="226">
        <f>'1.RETURNS'!D20</f>
        <v>-6.4772079169447584E-3</v>
      </c>
      <c r="D19" s="100" t="s">
        <v>631</v>
      </c>
      <c r="E19" s="100" t="s">
        <v>631</v>
      </c>
      <c r="F19" s="90" t="str">
        <f t="shared" si="6"/>
        <v/>
      </c>
      <c r="G19" s="61">
        <f t="shared" si="7"/>
        <v>4.1954222399331859E-5</v>
      </c>
      <c r="H19" s="101" t="s">
        <v>673</v>
      </c>
      <c r="I19" s="61">
        <f t="shared" si="11"/>
        <v>1.158731133724878E-4</v>
      </c>
      <c r="J19" s="61">
        <f t="shared" si="12"/>
        <v>1.0764437438737233</v>
      </c>
      <c r="K19" s="61">
        <f t="shared" si="0"/>
        <v>17.088014679847081</v>
      </c>
      <c r="L19" s="225">
        <f t="shared" si="8"/>
        <v>0.1708801467984708</v>
      </c>
      <c r="N19" s="95">
        <f t="shared" si="13"/>
        <v>1.7705923963199146</v>
      </c>
      <c r="O19" s="95">
        <f t="shared" si="1"/>
        <v>2.5041826150851993</v>
      </c>
      <c r="P19" s="95">
        <f t="shared" si="2"/>
        <v>2.2203942970495749</v>
      </c>
      <c r="Q19" s="95">
        <f t="shared" si="3"/>
        <v>2.8689531735745257</v>
      </c>
      <c r="R19" s="96">
        <f t="shared" si="9"/>
        <v>0</v>
      </c>
      <c r="S19" s="96">
        <f t="shared" si="10"/>
        <v>0</v>
      </c>
      <c r="T19" s="61" t="s">
        <v>674</v>
      </c>
      <c r="U19" s="97" t="s">
        <v>675</v>
      </c>
      <c r="V19" s="108">
        <f>N253</f>
        <v>1.5944665857403821</v>
      </c>
      <c r="W19" s="108">
        <f>O253</f>
        <v>2.2550845200985972</v>
      </c>
      <c r="X19" s="108">
        <f>P253</f>
        <v>1.9995254250342858</v>
      </c>
      <c r="Y19" s="109">
        <f>Q253</f>
        <v>2.5835703241616579</v>
      </c>
      <c r="Z19" s="61">
        <f t="shared" si="4"/>
        <v>-1.7705923963199146</v>
      </c>
      <c r="AA19" s="61">
        <f t="shared" si="5"/>
        <v>-2.5041826150851993</v>
      </c>
    </row>
    <row r="20" spans="2:27" ht="17" x14ac:dyDescent="0.2">
      <c r="B20" s="104" t="str">
        <f>'1.RETURNS'!A21</f>
        <v>25-Jan-2023</v>
      </c>
      <c r="C20" s="226">
        <f>'1.RETURNS'!D21</f>
        <v>-9.7974154406534671E-3</v>
      </c>
      <c r="D20" s="89" t="s">
        <v>631</v>
      </c>
      <c r="E20" s="89" t="s">
        <v>631</v>
      </c>
      <c r="F20" s="90" t="str">
        <f t="shared" si="6"/>
        <v/>
      </c>
      <c r="G20" s="61">
        <f t="shared" si="7"/>
        <v>9.5989349316754971E-5</v>
      </c>
      <c r="H20" s="101" t="s">
        <v>676</v>
      </c>
      <c r="I20" s="61">
        <f t="shared" si="11"/>
        <v>1.0568756860654781E-4</v>
      </c>
      <c r="J20" s="61">
        <f t="shared" si="12"/>
        <v>1.028044593422619</v>
      </c>
      <c r="K20" s="61">
        <f t="shared" si="0"/>
        <v>16.319701985284549</v>
      </c>
      <c r="L20" s="225">
        <f t="shared" si="8"/>
        <v>0.16319701985284549</v>
      </c>
      <c r="N20" s="95">
        <f t="shared" si="13"/>
        <v>1.6909828781590457</v>
      </c>
      <c r="O20" s="95">
        <f t="shared" si="1"/>
        <v>2.3915893543278903</v>
      </c>
      <c r="P20" s="95">
        <f t="shared" si="2"/>
        <v>2.1205607495416032</v>
      </c>
      <c r="Q20" s="95">
        <f t="shared" si="3"/>
        <v>2.7399590695395863</v>
      </c>
      <c r="R20" s="96">
        <f t="shared" si="9"/>
        <v>0</v>
      </c>
      <c r="S20" s="96">
        <f t="shared" si="10"/>
        <v>0</v>
      </c>
      <c r="U20" s="121" t="s">
        <v>677</v>
      </c>
      <c r="V20" s="122">
        <f>IFERROR(-AVERAGEIF(R4:R253,1,C4:C253)*100,"N/A")</f>
        <v>2.1976915001133115</v>
      </c>
      <c r="W20" s="122">
        <f>IFERROR(-AVERAGEIF(S4:S253,1,C4:C253)*100,"N/A")</f>
        <v>2.938113975084526</v>
      </c>
      <c r="X20" s="123" t="s">
        <v>678</v>
      </c>
      <c r="Y20" s="124"/>
      <c r="Z20" s="61">
        <f t="shared" si="4"/>
        <v>-1.6909828781590457</v>
      </c>
      <c r="AA20" s="61">
        <f t="shared" si="5"/>
        <v>-2.3915893543278903</v>
      </c>
    </row>
    <row r="21" spans="2:27" ht="16" customHeight="1" thickBot="1" x14ac:dyDescent="0.25">
      <c r="B21" s="99" t="str">
        <f>'1.RETURNS'!A22</f>
        <v>26-Jan-2023</v>
      </c>
      <c r="C21" s="226">
        <f>'1.RETURNS'!D22</f>
        <v>3.6193332840726675E-3</v>
      </c>
      <c r="D21" s="100" t="s">
        <v>631</v>
      </c>
      <c r="E21" s="100" t="s">
        <v>631</v>
      </c>
      <c r="F21" s="90" t="str">
        <f t="shared" si="6"/>
        <v/>
      </c>
      <c r="G21" s="61">
        <f t="shared" si="7"/>
        <v>1.3099573421196241E-5</v>
      </c>
      <c r="H21" s="107"/>
      <c r="I21" s="61">
        <f t="shared" si="11"/>
        <v>1.0243336824724113E-4</v>
      </c>
      <c r="J21" s="61">
        <f t="shared" si="12"/>
        <v>1.0120937122976368</v>
      </c>
      <c r="K21" s="61">
        <f t="shared" si="0"/>
        <v>16.066489597390206</v>
      </c>
      <c r="L21" s="225">
        <f t="shared" si="8"/>
        <v>0.16066489597390204</v>
      </c>
      <c r="N21" s="95">
        <f t="shared" si="13"/>
        <v>1.6647460134875469</v>
      </c>
      <c r="O21" s="95">
        <f t="shared" si="1"/>
        <v>2.3544820559337096</v>
      </c>
      <c r="P21" s="95">
        <f t="shared" si="2"/>
        <v>2.0876586627540736</v>
      </c>
      <c r="Q21" s="95">
        <f t="shared" si="3"/>
        <v>2.6974465543382382</v>
      </c>
      <c r="R21" s="96">
        <f t="shared" si="9"/>
        <v>0</v>
      </c>
      <c r="S21" s="96">
        <f t="shared" si="10"/>
        <v>0</v>
      </c>
      <c r="T21" s="61" t="s">
        <v>679</v>
      </c>
      <c r="Z21" s="61">
        <f t="shared" si="4"/>
        <v>-1.6647460134875469</v>
      </c>
      <c r="AA21" s="61">
        <f t="shared" si="5"/>
        <v>-2.3544820559337096</v>
      </c>
    </row>
    <row r="22" spans="2:27" ht="17" x14ac:dyDescent="0.2">
      <c r="B22" s="104" t="str">
        <f>'1.RETURNS'!A23</f>
        <v>27-Jan-2023</v>
      </c>
      <c r="C22" s="226">
        <f>'1.RETURNS'!D23</f>
        <v>-8.7524506038356795E-3</v>
      </c>
      <c r="D22" s="89" t="s">
        <v>631</v>
      </c>
      <c r="E22" s="89" t="s">
        <v>631</v>
      </c>
      <c r="F22" s="90" t="str">
        <f t="shared" si="6"/>
        <v/>
      </c>
      <c r="G22" s="61">
        <f t="shared" si="7"/>
        <v>7.6605391572583551E-5</v>
      </c>
      <c r="H22" s="92" t="s">
        <v>680</v>
      </c>
      <c r="I22" s="61">
        <f t="shared" si="11"/>
        <v>9.1378320352274593E-5</v>
      </c>
      <c r="J22" s="61">
        <f t="shared" si="12"/>
        <v>0.95592008218404223</v>
      </c>
      <c r="K22" s="61">
        <f t="shared" si="0"/>
        <v>15.174760864268407</v>
      </c>
      <c r="L22" s="225">
        <f t="shared" si="8"/>
        <v>0.15174760864268408</v>
      </c>
      <c r="N22" s="95">
        <f t="shared" si="13"/>
        <v>1.5723486142561707</v>
      </c>
      <c r="O22" s="95">
        <f t="shared" si="1"/>
        <v>2.2238026509417925</v>
      </c>
      <c r="P22" s="95">
        <f t="shared" si="2"/>
        <v>1.9717885964745774</v>
      </c>
      <c r="Q22" s="95">
        <f t="shared" si="3"/>
        <v>2.5477317965510409</v>
      </c>
      <c r="R22" s="96">
        <f t="shared" si="9"/>
        <v>0</v>
      </c>
      <c r="S22" s="96">
        <f t="shared" si="10"/>
        <v>0</v>
      </c>
      <c r="T22" s="61" t="s">
        <v>681</v>
      </c>
      <c r="U22" s="67" t="s">
        <v>682</v>
      </c>
      <c r="Z22" s="61">
        <f t="shared" si="4"/>
        <v>-1.5723486142561707</v>
      </c>
      <c r="AA22" s="61">
        <f t="shared" si="5"/>
        <v>-2.2238026509417925</v>
      </c>
    </row>
    <row r="23" spans="2:27" ht="29" customHeight="1" x14ac:dyDescent="0.2">
      <c r="B23" s="99" t="str">
        <f>'1.RETURNS'!A24</f>
        <v>30-Jan-2023</v>
      </c>
      <c r="C23" s="226">
        <f>'1.RETURNS'!D24</f>
        <v>-1.4251166520256224E-2</v>
      </c>
      <c r="D23" s="125">
        <f t="shared" ref="D23:D86" si="14">STDEV(C4:C23)</f>
        <v>1.0054801815945086E-2</v>
      </c>
      <c r="E23" s="126">
        <f>D23*SQRT(252)</f>
        <v>0.15961503052218803</v>
      </c>
      <c r="F23" s="90" t="str">
        <f t="shared" si="6"/>
        <v/>
      </c>
      <c r="G23" s="61">
        <f t="shared" si="7"/>
        <v>2.0309574718807189E-4</v>
      </c>
      <c r="H23" s="101" t="s">
        <v>683</v>
      </c>
      <c r="I23" s="61">
        <f t="shared" si="11"/>
        <v>8.8332111456691757E-5</v>
      </c>
      <c r="J23" s="61">
        <f t="shared" si="12"/>
        <v>0.93985164497750251</v>
      </c>
      <c r="K23" s="61">
        <f t="shared" si="0"/>
        <v>14.919682331432638</v>
      </c>
      <c r="L23" s="225">
        <f t="shared" si="8"/>
        <v>0.14919682331432638</v>
      </c>
      <c r="N23" s="95">
        <f t="shared" si="13"/>
        <v>1.5459183870375517</v>
      </c>
      <c r="O23" s="95">
        <f t="shared" si="1"/>
        <v>2.1864218762071999</v>
      </c>
      <c r="P23" s="95">
        <f t="shared" si="2"/>
        <v>1.938644025252019</v>
      </c>
      <c r="Q23" s="95">
        <f t="shared" si="3"/>
        <v>2.5049059692094375</v>
      </c>
      <c r="R23" s="96">
        <f t="shared" si="9"/>
        <v>0</v>
      </c>
      <c r="S23" s="96">
        <f t="shared" si="10"/>
        <v>0</v>
      </c>
      <c r="U23" s="61" t="s">
        <v>684</v>
      </c>
      <c r="Z23" s="61">
        <f t="shared" si="4"/>
        <v>-1.5459183870375517</v>
      </c>
      <c r="AA23" s="61">
        <f t="shared" si="5"/>
        <v>-2.1864218762071999</v>
      </c>
    </row>
    <row r="24" spans="2:27" ht="16" customHeight="1" x14ac:dyDescent="0.2">
      <c r="B24" s="104" t="str">
        <f>'1.RETURNS'!A25</f>
        <v>31-Jan-2023</v>
      </c>
      <c r="C24" s="226">
        <f>'1.RETURNS'!D25</f>
        <v>1.6633480164295882E-2</v>
      </c>
      <c r="D24" s="127">
        <f>STDEV(C5:C24)</f>
        <v>1.0743437325582748E-2</v>
      </c>
      <c r="E24" s="128">
        <f t="shared" ref="E23:E86" si="15">D24*SQRT(252)</f>
        <v>0.17054678033700491</v>
      </c>
      <c r="F24" s="90" t="str">
        <f t="shared" si="6"/>
        <v>▲ ELEVATED</v>
      </c>
      <c r="G24" s="61">
        <f t="shared" si="7"/>
        <v>2.7667266237602452E-4</v>
      </c>
      <c r="H24" s="129" t="s">
        <v>685</v>
      </c>
      <c r="I24" s="61">
        <f t="shared" si="11"/>
        <v>9.8391869456995184E-5</v>
      </c>
      <c r="J24" s="61">
        <f t="shared" si="12"/>
        <v>0.99192675867220759</v>
      </c>
      <c r="K24" s="61">
        <f t="shared" si="0"/>
        <v>15.746349133422259</v>
      </c>
      <c r="L24" s="225">
        <f t="shared" si="8"/>
        <v>0.15746349133422258</v>
      </c>
      <c r="N24" s="95">
        <f t="shared" si="13"/>
        <v>1.6315743266721976</v>
      </c>
      <c r="O24" s="95">
        <f t="shared" si="1"/>
        <v>2.3075667062413121</v>
      </c>
      <c r="P24" s="95">
        <f t="shared" si="2"/>
        <v>2.0460600292224926</v>
      </c>
      <c r="Q24" s="95">
        <f t="shared" si="3"/>
        <v>2.6436973027546902</v>
      </c>
      <c r="R24" s="96">
        <f t="shared" si="9"/>
        <v>0</v>
      </c>
      <c r="S24" s="96">
        <f t="shared" si="10"/>
        <v>0</v>
      </c>
      <c r="T24" s="61" t="s">
        <v>686</v>
      </c>
      <c r="U24" s="61" t="s">
        <v>687</v>
      </c>
      <c r="Z24" s="61">
        <f t="shared" si="4"/>
        <v>-1.6315743266721976</v>
      </c>
      <c r="AA24" s="61">
        <f t="shared" si="5"/>
        <v>-2.3075667062413121</v>
      </c>
    </row>
    <row r="25" spans="2:27" ht="17" x14ac:dyDescent="0.2">
      <c r="B25" s="99" t="str">
        <f>'1.RETURNS'!A26</f>
        <v>01-Feb-2023</v>
      </c>
      <c r="C25" s="226">
        <f>'1.RETURNS'!D26</f>
        <v>-2.3279526462302333E-3</v>
      </c>
      <c r="D25" s="125">
        <f t="shared" si="14"/>
        <v>1.0746778967099519E-2</v>
      </c>
      <c r="E25" s="126">
        <f t="shared" si="15"/>
        <v>0.17059982725154951</v>
      </c>
      <c r="F25" s="90" t="str">
        <f t="shared" si="6"/>
        <v>▲ ELEVATED</v>
      </c>
      <c r="G25" s="61">
        <f t="shared" si="7"/>
        <v>5.4193635230903455E-6</v>
      </c>
      <c r="H25" s="101" t="s">
        <v>688</v>
      </c>
      <c r="I25" s="61">
        <f t="shared" si="11"/>
        <v>1.1430035527604837E-4</v>
      </c>
      <c r="J25" s="61">
        <f t="shared" si="12"/>
        <v>1.0691134424187565</v>
      </c>
      <c r="K25" s="61">
        <f t="shared" si="0"/>
        <v>16.971649751737218</v>
      </c>
      <c r="L25" s="225">
        <f t="shared" si="8"/>
        <v>0.16971649751737217</v>
      </c>
      <c r="N25" s="95">
        <f t="shared" si="13"/>
        <v>1.7585351233850648</v>
      </c>
      <c r="O25" s="95">
        <f t="shared" si="1"/>
        <v>2.4871297838793591</v>
      </c>
      <c r="P25" s="95">
        <f t="shared" si="2"/>
        <v>2.2052739903555247</v>
      </c>
      <c r="Q25" s="95">
        <f t="shared" si="3"/>
        <v>2.8494163498973268</v>
      </c>
      <c r="R25" s="96">
        <f t="shared" si="9"/>
        <v>0</v>
      </c>
      <c r="S25" s="96">
        <f t="shared" si="10"/>
        <v>0</v>
      </c>
      <c r="T25" s="61" t="s">
        <v>689</v>
      </c>
      <c r="U25" s="61" t="s">
        <v>690</v>
      </c>
      <c r="Z25" s="61">
        <f t="shared" si="4"/>
        <v>-1.7585351233850648</v>
      </c>
      <c r="AA25" s="61">
        <f t="shared" si="5"/>
        <v>-2.4871297838793591</v>
      </c>
    </row>
    <row r="26" spans="2:27" ht="29" customHeight="1" x14ac:dyDescent="0.2">
      <c r="B26" s="104" t="str">
        <f>'1.RETURNS'!A27</f>
        <v>02-Feb-2023</v>
      </c>
      <c r="C26" s="226">
        <f>'1.RETURNS'!D27</f>
        <v>9.3726235716231547E-4</v>
      </c>
      <c r="D26" s="127">
        <f t="shared" si="14"/>
        <v>1.0601639818838856E-2</v>
      </c>
      <c r="E26" s="128">
        <f t="shared" si="15"/>
        <v>0.16829581470076482</v>
      </c>
      <c r="F26" s="90" t="str">
        <f t="shared" si="6"/>
        <v/>
      </c>
      <c r="G26" s="61">
        <f t="shared" si="7"/>
        <v>8.784607261534598E-7</v>
      </c>
      <c r="H26" s="101" t="s">
        <v>691</v>
      </c>
      <c r="I26" s="61">
        <f t="shared" si="11"/>
        <v>1.0069723833695014E-4</v>
      </c>
      <c r="J26" s="61">
        <f t="shared" si="12"/>
        <v>1.0034801360114218</v>
      </c>
      <c r="K26" s="61">
        <f t="shared" si="0"/>
        <v>15.929753312876958</v>
      </c>
      <c r="L26" s="225">
        <f t="shared" si="8"/>
        <v>0.15929753312876957</v>
      </c>
      <c r="N26" s="95">
        <f t="shared" si="13"/>
        <v>1.6505779412921431</v>
      </c>
      <c r="O26" s="95">
        <f t="shared" si="1"/>
        <v>2.3344438810523851</v>
      </c>
      <c r="P26" s="95">
        <f t="shared" si="2"/>
        <v>2.0698913286300562</v>
      </c>
      <c r="Q26" s="95">
        <f t="shared" si="3"/>
        <v>2.674489528332185</v>
      </c>
      <c r="R26" s="96">
        <f t="shared" si="9"/>
        <v>0</v>
      </c>
      <c r="S26" s="96">
        <f t="shared" si="10"/>
        <v>0</v>
      </c>
      <c r="T26" s="61" t="s">
        <v>692</v>
      </c>
      <c r="U26" s="61" t="s">
        <v>693</v>
      </c>
      <c r="Z26" s="61">
        <f t="shared" si="4"/>
        <v>-1.6505779412921431</v>
      </c>
      <c r="AA26" s="61">
        <f t="shared" si="5"/>
        <v>-2.3344438810523851</v>
      </c>
    </row>
    <row r="27" spans="2:27" ht="29" customHeight="1" x14ac:dyDescent="0.2">
      <c r="B27" s="99" t="str">
        <f>'1.RETURNS'!A28</f>
        <v>03-Feb-2023</v>
      </c>
      <c r="C27" s="226">
        <f>'1.RETURNS'!D28</f>
        <v>-1.3635751621641814E-2</v>
      </c>
      <c r="D27" s="125">
        <f t="shared" si="14"/>
        <v>1.0083104009961047E-2</v>
      </c>
      <c r="E27" s="126">
        <f t="shared" si="15"/>
        <v>0.16006431392373044</v>
      </c>
      <c r="F27" s="90" t="str">
        <f t="shared" si="6"/>
        <v/>
      </c>
      <c r="G27" s="61">
        <f t="shared" si="7"/>
        <v>1.8593372228710737E-4</v>
      </c>
      <c r="H27" s="101" t="s">
        <v>694</v>
      </c>
      <c r="I27" s="61">
        <f t="shared" si="11"/>
        <v>8.8680498659022967E-5</v>
      </c>
      <c r="J27" s="61">
        <f t="shared" si="12"/>
        <v>0.94170323700740766</v>
      </c>
      <c r="K27" s="61">
        <f t="shared" si="0"/>
        <v>14.949075443676707</v>
      </c>
      <c r="L27" s="225">
        <f t="shared" si="8"/>
        <v>0.14949075443676707</v>
      </c>
      <c r="N27" s="95">
        <f t="shared" si="13"/>
        <v>1.5489639849035757</v>
      </c>
      <c r="O27" s="95">
        <f t="shared" si="1"/>
        <v>2.1907293233895606</v>
      </c>
      <c r="P27" s="95">
        <f t="shared" si="2"/>
        <v>1.942463327846383</v>
      </c>
      <c r="Q27" s="95">
        <f t="shared" si="3"/>
        <v>2.5098408586178196</v>
      </c>
      <c r="R27" s="96">
        <f t="shared" si="9"/>
        <v>0</v>
      </c>
      <c r="S27" s="96">
        <f t="shared" si="10"/>
        <v>0</v>
      </c>
      <c r="T27" s="61" t="s">
        <v>695</v>
      </c>
      <c r="Z27" s="61">
        <f t="shared" si="4"/>
        <v>-1.5489639849035757</v>
      </c>
      <c r="AA27" s="61">
        <f t="shared" si="5"/>
        <v>-2.1907293233895606</v>
      </c>
    </row>
    <row r="28" spans="2:27" ht="16" customHeight="1" thickBot="1" x14ac:dyDescent="0.25">
      <c r="B28" s="104" t="str">
        <f>'1.RETURNS'!A29</f>
        <v>06-Feb-2023</v>
      </c>
      <c r="C28" s="226">
        <f>'1.RETURNS'!D29</f>
        <v>-5.5921391318446883E-3</v>
      </c>
      <c r="D28" s="127">
        <f t="shared" si="14"/>
        <v>1.0099249931617389E-2</v>
      </c>
      <c r="E28" s="128">
        <f t="shared" si="15"/>
        <v>0.16032062248407411</v>
      </c>
      <c r="F28" s="90" t="str">
        <f t="shared" si="6"/>
        <v/>
      </c>
      <c r="G28" s="61">
        <f t="shared" si="7"/>
        <v>3.1272020069908661E-5</v>
      </c>
      <c r="H28" s="107"/>
      <c r="I28" s="61">
        <f t="shared" si="11"/>
        <v>9.6971796088880259E-5</v>
      </c>
      <c r="J28" s="61">
        <f t="shared" si="12"/>
        <v>0.98474258610501997</v>
      </c>
      <c r="K28" s="61">
        <f t="shared" si="0"/>
        <v>15.632303929490954</v>
      </c>
      <c r="L28" s="225">
        <f t="shared" si="8"/>
        <v>0.15632303929490954</v>
      </c>
      <c r="N28" s="95">
        <f t="shared" si="13"/>
        <v>1.6197574143684139</v>
      </c>
      <c r="O28" s="95">
        <f t="shared" si="1"/>
        <v>2.2908538216628926</v>
      </c>
      <c r="P28" s="95">
        <f t="shared" si="2"/>
        <v>2.031241144456811</v>
      </c>
      <c r="Q28" s="95">
        <f t="shared" si="3"/>
        <v>2.6245499438672035</v>
      </c>
      <c r="R28" s="96">
        <f t="shared" si="9"/>
        <v>0</v>
      </c>
      <c r="S28" s="96">
        <f t="shared" si="10"/>
        <v>0</v>
      </c>
      <c r="T28" s="61" t="s">
        <v>696</v>
      </c>
      <c r="Z28" s="61">
        <f t="shared" si="4"/>
        <v>-1.6197574143684139</v>
      </c>
      <c r="AA28" s="61">
        <f t="shared" si="5"/>
        <v>-2.2908538216628926</v>
      </c>
    </row>
    <row r="29" spans="2:27" ht="17" x14ac:dyDescent="0.2">
      <c r="B29" s="99" t="str">
        <f>'1.RETURNS'!A30</f>
        <v>07-Feb-2023</v>
      </c>
      <c r="C29" s="226">
        <f>'1.RETURNS'!D30</f>
        <v>1.3854201179323263E-3</v>
      </c>
      <c r="D29" s="125">
        <f t="shared" si="14"/>
        <v>1.014723728507733E-2</v>
      </c>
      <c r="E29" s="126">
        <f t="shared" si="15"/>
        <v>0.16108239810406105</v>
      </c>
      <c r="F29" s="90" t="str">
        <f t="shared" si="6"/>
        <v/>
      </c>
      <c r="G29" s="61">
        <f t="shared" si="7"/>
        <v>1.919388903171621E-6</v>
      </c>
      <c r="H29" s="92" t="s">
        <v>697</v>
      </c>
      <c r="I29" s="61">
        <f t="shared" si="11"/>
        <v>8.8553228682539082E-5</v>
      </c>
      <c r="J29" s="61">
        <f t="shared" si="12"/>
        <v>0.9410272508410108</v>
      </c>
      <c r="K29" s="61">
        <f t="shared" si="0"/>
        <v>14.938344495960671</v>
      </c>
      <c r="L29" s="225">
        <f t="shared" si="8"/>
        <v>0.1493834449596067</v>
      </c>
      <c r="N29" s="95">
        <f t="shared" si="13"/>
        <v>1.5478520866060088</v>
      </c>
      <c r="O29" s="95">
        <f t="shared" si="1"/>
        <v>2.1891567444084825</v>
      </c>
      <c r="P29" s="95">
        <f t="shared" si="2"/>
        <v>1.9410689625232584</v>
      </c>
      <c r="Q29" s="95">
        <f t="shared" si="3"/>
        <v>2.5080392106743816</v>
      </c>
      <c r="R29" s="96">
        <f t="shared" si="9"/>
        <v>0</v>
      </c>
      <c r="S29" s="96">
        <f t="shared" si="10"/>
        <v>0</v>
      </c>
      <c r="Z29" s="61">
        <f t="shared" si="4"/>
        <v>-1.5478520866060088</v>
      </c>
      <c r="AA29" s="61">
        <f t="shared" si="5"/>
        <v>-2.1891567444084825</v>
      </c>
    </row>
    <row r="30" spans="2:27" ht="17" x14ac:dyDescent="0.2">
      <c r="B30" s="104" t="str">
        <f>'1.RETURNS'!A31</f>
        <v>08-Feb-2023</v>
      </c>
      <c r="C30" s="226">
        <f>'1.RETURNS'!D31</f>
        <v>-1.1016357826425731E-2</v>
      </c>
      <c r="D30" s="127">
        <f t="shared" si="14"/>
        <v>9.3263615972526883E-3</v>
      </c>
      <c r="E30" s="128">
        <f t="shared" si="15"/>
        <v>0.1480514005403625</v>
      </c>
      <c r="F30" s="90" t="str">
        <f t="shared" si="6"/>
        <v/>
      </c>
      <c r="G30" s="61">
        <f t="shared" si="7"/>
        <v>1.2136013975985145E-4</v>
      </c>
      <c r="H30" s="101" t="s">
        <v>698</v>
      </c>
      <c r="I30" s="61">
        <f t="shared" si="11"/>
        <v>7.8462183270475383E-5</v>
      </c>
      <c r="J30" s="61">
        <f t="shared" si="12"/>
        <v>0.88578881947378052</v>
      </c>
      <c r="K30" s="61">
        <f t="shared" si="0"/>
        <v>14.061461582694665</v>
      </c>
      <c r="L30" s="225">
        <f t="shared" si="8"/>
        <v>0.14061461582694665</v>
      </c>
      <c r="N30" s="95">
        <f t="shared" si="13"/>
        <v>1.4569929524245102</v>
      </c>
      <c r="O30" s="95">
        <f t="shared" si="1"/>
        <v>2.0606529370319753</v>
      </c>
      <c r="P30" s="95">
        <f t="shared" si="2"/>
        <v>1.8271279426754525</v>
      </c>
      <c r="Q30" s="95">
        <f t="shared" si="3"/>
        <v>2.3608169578848437</v>
      </c>
      <c r="R30" s="96">
        <f t="shared" si="9"/>
        <v>0</v>
      </c>
      <c r="S30" s="96">
        <f t="shared" si="10"/>
        <v>0</v>
      </c>
      <c r="Z30" s="61">
        <f t="shared" si="4"/>
        <v>-1.4569929524245102</v>
      </c>
      <c r="AA30" s="61">
        <f t="shared" si="5"/>
        <v>-2.0606529370319753</v>
      </c>
    </row>
    <row r="31" spans="2:27" ht="17" x14ac:dyDescent="0.2">
      <c r="B31" s="99" t="str">
        <f>'1.RETURNS'!A32</f>
        <v>09-Feb-2023</v>
      </c>
      <c r="C31" s="226">
        <f>'1.RETURNS'!D32</f>
        <v>4.3343886599564773E-3</v>
      </c>
      <c r="D31" s="125">
        <f t="shared" si="14"/>
        <v>9.0406121295445244E-3</v>
      </c>
      <c r="E31" s="126">
        <f t="shared" si="15"/>
        <v>0.14351526836741321</v>
      </c>
      <c r="F31" s="90" t="str">
        <f t="shared" si="6"/>
        <v/>
      </c>
      <c r="G31" s="61">
        <f t="shared" si="7"/>
        <v>1.8786925055559306E-5</v>
      </c>
      <c r="H31" s="130" t="s">
        <v>699</v>
      </c>
      <c r="I31" s="61">
        <f t="shared" si="11"/>
        <v>8.1828869755889221E-5</v>
      </c>
      <c r="J31" s="61">
        <f t="shared" si="12"/>
        <v>0.90459311160261002</v>
      </c>
      <c r="K31" s="61">
        <f t="shared" si="0"/>
        <v>14.359970466015618</v>
      </c>
      <c r="L31" s="225">
        <f t="shared" si="8"/>
        <v>0.14359970466015617</v>
      </c>
      <c r="N31" s="95">
        <f t="shared" si="13"/>
        <v>1.4879232605348705</v>
      </c>
      <c r="O31" s="95">
        <f t="shared" si="1"/>
        <v>2.1043982620487207</v>
      </c>
      <c r="P31" s="95">
        <f t="shared" si="2"/>
        <v>1.8659157968857001</v>
      </c>
      <c r="Q31" s="95">
        <f t="shared" si="3"/>
        <v>2.410934424670137</v>
      </c>
      <c r="R31" s="96">
        <f t="shared" si="9"/>
        <v>0</v>
      </c>
      <c r="S31" s="96">
        <f t="shared" si="10"/>
        <v>0</v>
      </c>
      <c r="Z31" s="61">
        <f t="shared" si="4"/>
        <v>-1.4879232605348705</v>
      </c>
      <c r="AA31" s="61">
        <f t="shared" si="5"/>
        <v>-2.1043982620487207</v>
      </c>
    </row>
    <row r="32" spans="2:27" ht="34" x14ac:dyDescent="0.2">
      <c r="B32" s="104" t="str">
        <f>'1.RETURNS'!A33</f>
        <v>10-Feb-2023</v>
      </c>
      <c r="C32" s="226">
        <f>'1.RETURNS'!D33</f>
        <v>-5.9637653469286865E-3</v>
      </c>
      <c r="D32" s="127">
        <f t="shared" si="14"/>
        <v>9.0464232195875821E-3</v>
      </c>
      <c r="E32" s="128">
        <f t="shared" si="15"/>
        <v>0.14360751656201401</v>
      </c>
      <c r="F32" s="90" t="str">
        <f t="shared" si="6"/>
        <v/>
      </c>
      <c r="G32" s="61">
        <f t="shared" si="7"/>
        <v>3.5566497113227438E-5</v>
      </c>
      <c r="H32" s="101" t="s">
        <v>700</v>
      </c>
      <c r="I32" s="61">
        <f t="shared" si="11"/>
        <v>7.4433231798061767E-5</v>
      </c>
      <c r="J32" s="61">
        <f t="shared" si="12"/>
        <v>0.86274696057454625</v>
      </c>
      <c r="K32" s="61">
        <f t="shared" si="0"/>
        <v>13.695683412342579</v>
      </c>
      <c r="L32" s="225">
        <f t="shared" si="8"/>
        <v>0.1369568341234258</v>
      </c>
      <c r="N32" s="95">
        <f t="shared" si="13"/>
        <v>1.4190924672424006</v>
      </c>
      <c r="O32" s="95">
        <f t="shared" si="1"/>
        <v>2.0070495575677927</v>
      </c>
      <c r="P32" s="95">
        <f t="shared" si="2"/>
        <v>1.779599205215223</v>
      </c>
      <c r="Q32" s="95">
        <f t="shared" si="3"/>
        <v>2.2994054678834028</v>
      </c>
      <c r="R32" s="96">
        <f t="shared" si="9"/>
        <v>0</v>
      </c>
      <c r="S32" s="96">
        <f t="shared" si="10"/>
        <v>0</v>
      </c>
      <c r="Z32" s="61">
        <f t="shared" si="4"/>
        <v>-1.4190924672424006</v>
      </c>
      <c r="AA32" s="61">
        <f t="shared" si="5"/>
        <v>-2.0070495575677927</v>
      </c>
    </row>
    <row r="33" spans="2:27" ht="16" customHeight="1" x14ac:dyDescent="0.2">
      <c r="B33" s="99" t="str">
        <f>'1.RETURNS'!A34</f>
        <v>13-Feb-2023</v>
      </c>
      <c r="C33" s="226">
        <f>'1.RETURNS'!D34</f>
        <v>-2.7659885362656092E-3</v>
      </c>
      <c r="D33" s="125">
        <f t="shared" si="14"/>
        <v>8.7463393681110491E-3</v>
      </c>
      <c r="E33" s="126">
        <f t="shared" si="15"/>
        <v>0.1388438331011739</v>
      </c>
      <c r="F33" s="90" t="str">
        <f t="shared" si="6"/>
        <v/>
      </c>
      <c r="G33" s="61">
        <f t="shared" si="7"/>
        <v>7.6506925827527682E-6</v>
      </c>
      <c r="H33" s="129" t="s">
        <v>701</v>
      </c>
      <c r="I33" s="61">
        <f t="shared" si="11"/>
        <v>6.9824896739675247E-5</v>
      </c>
      <c r="J33" s="61">
        <f t="shared" si="12"/>
        <v>0.83561292917040986</v>
      </c>
      <c r="K33" s="61">
        <f t="shared" si="0"/>
        <v>13.264944017370809</v>
      </c>
      <c r="L33" s="225">
        <f t="shared" si="8"/>
        <v>0.13264944017370808</v>
      </c>
      <c r="N33" s="95">
        <f t="shared" si="13"/>
        <v>1.3744609572734918</v>
      </c>
      <c r="O33" s="95">
        <f t="shared" si="1"/>
        <v>1.9439263612966227</v>
      </c>
      <c r="P33" s="95">
        <f t="shared" si="2"/>
        <v>1.7236294911186021</v>
      </c>
      <c r="Q33" s="95">
        <f t="shared" si="3"/>
        <v>2.2270874615297891</v>
      </c>
      <c r="R33" s="96">
        <f t="shared" si="9"/>
        <v>0</v>
      </c>
      <c r="S33" s="96">
        <f t="shared" si="10"/>
        <v>0</v>
      </c>
      <c r="Z33" s="61">
        <f t="shared" si="4"/>
        <v>-1.3744609572734918</v>
      </c>
      <c r="AA33" s="61">
        <f t="shared" si="5"/>
        <v>-1.9439263612966227</v>
      </c>
    </row>
    <row r="34" spans="2:27" ht="17" x14ac:dyDescent="0.2">
      <c r="B34" s="104" t="str">
        <f>'1.RETURNS'!A35</f>
        <v>14-Feb-2023</v>
      </c>
      <c r="C34" s="226">
        <f>'1.RETURNS'!D35</f>
        <v>-5.4750569563483563E-3</v>
      </c>
      <c r="D34" s="127">
        <f t="shared" si="14"/>
        <v>8.7455710328567422E-3</v>
      </c>
      <c r="E34" s="128">
        <f t="shared" si="15"/>
        <v>0.1388316361571354</v>
      </c>
      <c r="F34" s="90" t="str">
        <f t="shared" si="6"/>
        <v/>
      </c>
      <c r="G34" s="61">
        <f t="shared" si="7"/>
        <v>2.9976248675258525E-5</v>
      </c>
      <c r="H34" s="115" t="s">
        <v>702</v>
      </c>
      <c r="I34" s="61">
        <f t="shared" si="11"/>
        <v>6.311623148699923E-5</v>
      </c>
      <c r="J34" s="61">
        <f t="shared" si="12"/>
        <v>0.79445724546384</v>
      </c>
      <c r="K34" s="61">
        <f t="shared" si="0"/>
        <v>12.611617792624308</v>
      </c>
      <c r="L34" s="225">
        <f t="shared" si="8"/>
        <v>0.12611617792624308</v>
      </c>
      <c r="N34" s="95">
        <f t="shared" si="13"/>
        <v>1.3067658816590728</v>
      </c>
      <c r="O34" s="95">
        <f t="shared" si="1"/>
        <v>1.8481839240011466</v>
      </c>
      <c r="P34" s="95">
        <f t="shared" si="2"/>
        <v>1.6387371352353355</v>
      </c>
      <c r="Q34" s="95">
        <f t="shared" si="3"/>
        <v>2.1173987480669849</v>
      </c>
      <c r="R34" s="96">
        <f t="shared" si="9"/>
        <v>0</v>
      </c>
      <c r="S34" s="96">
        <f t="shared" si="10"/>
        <v>0</v>
      </c>
      <c r="Z34" s="61">
        <f t="shared" si="4"/>
        <v>-1.3067658816590728</v>
      </c>
      <c r="AA34" s="61">
        <f t="shared" si="5"/>
        <v>-1.8481839240011466</v>
      </c>
    </row>
    <row r="35" spans="2:27" ht="17" x14ac:dyDescent="0.2">
      <c r="B35" s="99" t="str">
        <f>'1.RETURNS'!A36</f>
        <v>15-Feb-2023</v>
      </c>
      <c r="C35" s="226">
        <f>'1.RETURNS'!D36</f>
        <v>1.8407343631838935E-2</v>
      </c>
      <c r="D35" s="125">
        <f t="shared" si="14"/>
        <v>1.0197595877781043E-2</v>
      </c>
      <c r="E35" s="126">
        <f t="shared" si="15"/>
        <v>0.16188181598007637</v>
      </c>
      <c r="F35" s="90" t="str">
        <f t="shared" si="6"/>
        <v/>
      </c>
      <c r="G35" s="61">
        <f t="shared" si="7"/>
        <v>3.3883029958060141E-4</v>
      </c>
      <c r="H35" s="115" t="s">
        <v>703</v>
      </c>
      <c r="I35" s="61">
        <f t="shared" si="11"/>
        <v>5.9646421631475195E-5</v>
      </c>
      <c r="J35" s="61">
        <f t="shared" si="12"/>
        <v>0.7723109583029053</v>
      </c>
      <c r="K35" s="61">
        <f t="shared" si="0"/>
        <v>12.260056382876773</v>
      </c>
      <c r="L35" s="225">
        <f t="shared" si="8"/>
        <v>0.12260056382876773</v>
      </c>
      <c r="N35" s="95">
        <f t="shared" si="13"/>
        <v>1.2703384808989004</v>
      </c>
      <c r="O35" s="95">
        <f t="shared" si="1"/>
        <v>1.7966639559464082</v>
      </c>
      <c r="P35" s="95">
        <f t="shared" si="2"/>
        <v>1.5930557050697383</v>
      </c>
      <c r="Q35" s="95">
        <f t="shared" si="3"/>
        <v>2.0583741485978</v>
      </c>
      <c r="R35" s="96">
        <f t="shared" si="9"/>
        <v>0</v>
      </c>
      <c r="S35" s="96">
        <f t="shared" si="10"/>
        <v>0</v>
      </c>
      <c r="Z35" s="61">
        <f t="shared" si="4"/>
        <v>-1.2703384808989004</v>
      </c>
      <c r="AA35" s="61">
        <f t="shared" si="5"/>
        <v>-1.7966639559464082</v>
      </c>
    </row>
    <row r="36" spans="2:27" ht="16" customHeight="1" thickBot="1" x14ac:dyDescent="0.25">
      <c r="B36" s="104" t="str">
        <f>'1.RETURNS'!A37</f>
        <v>16-Feb-2023</v>
      </c>
      <c r="C36" s="226">
        <f>'1.RETURNS'!D37</f>
        <v>8.7750087806441539E-5</v>
      </c>
      <c r="D36" s="127">
        <f t="shared" si="14"/>
        <v>1.0128808316844463E-2</v>
      </c>
      <c r="E36" s="128">
        <f t="shared" si="15"/>
        <v>0.16078984730287901</v>
      </c>
      <c r="F36" s="90" t="str">
        <f t="shared" si="6"/>
        <v/>
      </c>
      <c r="G36" s="61">
        <f t="shared" si="7"/>
        <v>7.7000779100382002E-9</v>
      </c>
      <c r="H36" s="107"/>
      <c r="I36" s="61">
        <f t="shared" si="11"/>
        <v>8.7582488344814053E-5</v>
      </c>
      <c r="J36" s="61">
        <f t="shared" si="12"/>
        <v>0.93585516157583937</v>
      </c>
      <c r="K36" s="61">
        <f t="shared" si="0"/>
        <v>14.856240124235049</v>
      </c>
      <c r="L36" s="225">
        <f t="shared" si="8"/>
        <v>0.14856240124235048</v>
      </c>
      <c r="N36" s="95">
        <f t="shared" si="13"/>
        <v>1.5393447568192749</v>
      </c>
      <c r="O36" s="95">
        <f t="shared" si="1"/>
        <v>2.1771246655421015</v>
      </c>
      <c r="P36" s="95">
        <f t="shared" si="2"/>
        <v>1.9304004277544176</v>
      </c>
      <c r="Q36" s="95">
        <f t="shared" si="3"/>
        <v>2.4942544848159489</v>
      </c>
      <c r="R36" s="96">
        <f t="shared" si="9"/>
        <v>0</v>
      </c>
      <c r="S36" s="96">
        <f t="shared" si="10"/>
        <v>0</v>
      </c>
      <c r="Z36" s="61">
        <f t="shared" si="4"/>
        <v>-1.5393447568192749</v>
      </c>
      <c r="AA36" s="61">
        <f t="shared" si="5"/>
        <v>-2.1771246655421015</v>
      </c>
    </row>
    <row r="37" spans="2:27" ht="17" x14ac:dyDescent="0.2">
      <c r="B37" s="99" t="str">
        <f>'1.RETURNS'!A38</f>
        <v>17-Feb-2023</v>
      </c>
      <c r="C37" s="226">
        <f>'1.RETURNS'!D38</f>
        <v>-9.3562805766086825E-3</v>
      </c>
      <c r="D37" s="125">
        <f t="shared" si="14"/>
        <v>9.5786110681527863E-3</v>
      </c>
      <c r="E37" s="126">
        <f t="shared" si="15"/>
        <v>0.15205573675045819</v>
      </c>
      <c r="F37" s="90" t="str">
        <f t="shared" si="6"/>
        <v/>
      </c>
      <c r="G37" s="61">
        <f t="shared" si="7"/>
        <v>8.7539986228224903E-5</v>
      </c>
      <c r="H37" s="92" t="s">
        <v>704</v>
      </c>
      <c r="I37" s="61">
        <f t="shared" si="11"/>
        <v>7.7445885100882941E-5</v>
      </c>
      <c r="J37" s="61">
        <f t="shared" si="12"/>
        <v>0.88003343743793594</v>
      </c>
      <c r="K37" s="61">
        <f t="shared" si="0"/>
        <v>13.970097725292584</v>
      </c>
      <c r="L37" s="225">
        <f t="shared" si="8"/>
        <v>0.13970097725292585</v>
      </c>
      <c r="N37" s="95">
        <f t="shared" si="13"/>
        <v>1.4475261914083599</v>
      </c>
      <c r="O37" s="95">
        <f t="shared" si="1"/>
        <v>2.0472639162685957</v>
      </c>
      <c r="P37" s="95">
        <f t="shared" si="2"/>
        <v>1.8152562424380176</v>
      </c>
      <c r="Q37" s="95">
        <f t="shared" si="3"/>
        <v>2.3454776318393877</v>
      </c>
      <c r="R37" s="96">
        <f t="shared" si="9"/>
        <v>0</v>
      </c>
      <c r="S37" s="96">
        <f t="shared" si="10"/>
        <v>0</v>
      </c>
      <c r="Z37" s="61">
        <f t="shared" si="4"/>
        <v>-1.4475261914083599</v>
      </c>
      <c r="AA37" s="61">
        <f t="shared" si="5"/>
        <v>-2.0472639162685957</v>
      </c>
    </row>
    <row r="38" spans="2:27" ht="29" customHeight="1" x14ac:dyDescent="0.2">
      <c r="B38" s="104" t="str">
        <f>'1.RETURNS'!A39</f>
        <v>20-Feb-2023</v>
      </c>
      <c r="C38" s="226">
        <f>'1.RETURNS'!D39</f>
        <v>9.0814585452372431E-3</v>
      </c>
      <c r="D38" s="127">
        <f t="shared" si="14"/>
        <v>9.0939196138118111E-3</v>
      </c>
      <c r="E38" s="128">
        <f t="shared" si="15"/>
        <v>0.14436149844575158</v>
      </c>
      <c r="F38" s="90" t="str">
        <f t="shared" si="6"/>
        <v/>
      </c>
      <c r="G38" s="61">
        <f t="shared" si="7"/>
        <v>8.2472889308862546E-5</v>
      </c>
      <c r="H38" s="101" t="s">
        <v>705</v>
      </c>
      <c r="I38" s="61">
        <f t="shared" si="11"/>
        <v>7.7583000958572989E-5</v>
      </c>
      <c r="J38" s="61">
        <f t="shared" si="12"/>
        <v>0.88081213069855591</v>
      </c>
      <c r="K38" s="61">
        <f t="shared" si="0"/>
        <v>13.982459097583799</v>
      </c>
      <c r="L38" s="225">
        <f t="shared" si="8"/>
        <v>0.13982459097583799</v>
      </c>
      <c r="N38" s="95">
        <f t="shared" si="13"/>
        <v>1.4488070278423733</v>
      </c>
      <c r="O38" s="95">
        <f t="shared" si="1"/>
        <v>2.0490754276799685</v>
      </c>
      <c r="P38" s="95">
        <f t="shared" si="2"/>
        <v>1.8168624629998182</v>
      </c>
      <c r="Q38" s="95">
        <f t="shared" si="3"/>
        <v>2.3475530161908797</v>
      </c>
      <c r="R38" s="96">
        <f t="shared" si="9"/>
        <v>0</v>
      </c>
      <c r="S38" s="96">
        <f t="shared" si="10"/>
        <v>0</v>
      </c>
      <c r="Z38" s="61">
        <f t="shared" si="4"/>
        <v>-1.4488070278423733</v>
      </c>
      <c r="AA38" s="61">
        <f t="shared" si="5"/>
        <v>-2.0490754276799685</v>
      </c>
    </row>
    <row r="39" spans="2:27" ht="29" customHeight="1" x14ac:dyDescent="0.2">
      <c r="B39" s="99" t="str">
        <f>'1.RETURNS'!A40</f>
        <v>21-Feb-2023</v>
      </c>
      <c r="C39" s="226">
        <f>'1.RETURNS'!D40</f>
        <v>-1.3189794377500771E-2</v>
      </c>
      <c r="D39" s="125">
        <f t="shared" si="14"/>
        <v>9.38526362432404E-3</v>
      </c>
      <c r="E39" s="126">
        <f t="shared" si="15"/>
        <v>0.14898644123245286</v>
      </c>
      <c r="F39" s="90" t="str">
        <f t="shared" si="6"/>
        <v/>
      </c>
      <c r="G39" s="61">
        <f t="shared" si="7"/>
        <v>1.7397067572075096E-4</v>
      </c>
      <c r="H39" s="115" t="s">
        <v>706</v>
      </c>
      <c r="I39" s="61">
        <f t="shared" si="11"/>
        <v>7.7192839745673296E-5</v>
      </c>
      <c r="J39" s="61">
        <f t="shared" si="12"/>
        <v>0.87859455806232545</v>
      </c>
      <c r="K39" s="61">
        <f t="shared" si="0"/>
        <v>13.947256223325674</v>
      </c>
      <c r="L39" s="225">
        <f t="shared" si="8"/>
        <v>0.13947256223325674</v>
      </c>
      <c r="N39" s="95">
        <f t="shared" si="13"/>
        <v>1.4451594454486412</v>
      </c>
      <c r="O39" s="95">
        <f t="shared" si="1"/>
        <v>2.0439165822921428</v>
      </c>
      <c r="P39" s="95">
        <f t="shared" si="2"/>
        <v>1.8122882475214876</v>
      </c>
      <c r="Q39" s="95">
        <f t="shared" si="3"/>
        <v>2.3416427100661483</v>
      </c>
      <c r="R39" s="96">
        <f t="shared" si="9"/>
        <v>0</v>
      </c>
      <c r="S39" s="96">
        <f t="shared" si="10"/>
        <v>0</v>
      </c>
      <c r="Z39" s="61">
        <f t="shared" si="4"/>
        <v>-1.4451594454486412</v>
      </c>
      <c r="AA39" s="61">
        <f t="shared" si="5"/>
        <v>-2.0439165822921428</v>
      </c>
    </row>
    <row r="40" spans="2:27" ht="29" customHeight="1" x14ac:dyDescent="0.2">
      <c r="B40" s="104" t="str">
        <f>'1.RETURNS'!A41</f>
        <v>22-Feb-2023</v>
      </c>
      <c r="C40" s="226">
        <f>'1.RETURNS'!D41</f>
        <v>2.5898212119692798E-3</v>
      </c>
      <c r="D40" s="127">
        <f t="shared" si="14"/>
        <v>9.2782594233865954E-3</v>
      </c>
      <c r="E40" s="128">
        <f t="shared" si="15"/>
        <v>0.14728780220293486</v>
      </c>
      <c r="F40" s="90" t="str">
        <f t="shared" si="6"/>
        <v/>
      </c>
      <c r="G40" s="61">
        <f t="shared" si="7"/>
        <v>6.7071739099660293E-6</v>
      </c>
      <c r="H40" s="115" t="s">
        <v>707</v>
      </c>
      <c r="I40" s="61">
        <f t="shared" si="11"/>
        <v>8.6010981355897395E-5</v>
      </c>
      <c r="J40" s="61">
        <f t="shared" si="12"/>
        <v>0.92742105516263429</v>
      </c>
      <c r="K40" s="61">
        <f t="shared" si="0"/>
        <v>14.722352835632675</v>
      </c>
      <c r="L40" s="225">
        <f t="shared" si="8"/>
        <v>0.14722352835632674</v>
      </c>
      <c r="N40" s="95">
        <f t="shared" si="13"/>
        <v>1.5254718862954197</v>
      </c>
      <c r="O40" s="95">
        <f t="shared" si="1"/>
        <v>2.1575040000183074</v>
      </c>
      <c r="P40" s="95">
        <f t="shared" si="2"/>
        <v>1.9130032884360189</v>
      </c>
      <c r="Q40" s="95">
        <f t="shared" si="3"/>
        <v>2.4717757844675647</v>
      </c>
      <c r="R40" s="96">
        <f t="shared" si="9"/>
        <v>0</v>
      </c>
      <c r="S40" s="96">
        <f t="shared" si="10"/>
        <v>0</v>
      </c>
      <c r="Z40" s="61">
        <f t="shared" si="4"/>
        <v>-1.5254718862954197</v>
      </c>
      <c r="AA40" s="61">
        <f t="shared" si="5"/>
        <v>-2.1575040000183074</v>
      </c>
    </row>
    <row r="41" spans="2:27" ht="29" customHeight="1" x14ac:dyDescent="0.2">
      <c r="B41" s="99" t="str">
        <f>'1.RETURNS'!A42</f>
        <v>23-Feb-2023</v>
      </c>
      <c r="C41" s="226">
        <f>'1.RETURNS'!D42</f>
        <v>-1.8806258881128822E-2</v>
      </c>
      <c r="D41" s="125">
        <f t="shared" si="14"/>
        <v>9.9260823043958463E-3</v>
      </c>
      <c r="E41" s="126">
        <f t="shared" si="15"/>
        <v>0.15757167162354208</v>
      </c>
      <c r="F41" s="90" t="str">
        <f t="shared" si="6"/>
        <v/>
      </c>
      <c r="G41" s="61">
        <f t="shared" si="7"/>
        <v>3.5367537310403667E-4</v>
      </c>
      <c r="H41" s="115" t="s">
        <v>708</v>
      </c>
      <c r="I41" s="61">
        <f t="shared" si="11"/>
        <v>7.678005154350939E-5</v>
      </c>
      <c r="J41" s="61">
        <f t="shared" si="12"/>
        <v>0.8762422698290091</v>
      </c>
      <c r="K41" s="61">
        <f t="shared" si="0"/>
        <v>13.909914805261883</v>
      </c>
      <c r="L41" s="225">
        <f t="shared" si="8"/>
        <v>0.13909914805261883</v>
      </c>
      <c r="N41" s="95">
        <f t="shared" si="13"/>
        <v>1.4412902756164356</v>
      </c>
      <c r="O41" s="95">
        <f t="shared" si="1"/>
        <v>2.0384443415614362</v>
      </c>
      <c r="P41" s="95">
        <f t="shared" si="2"/>
        <v>1.807436152455677</v>
      </c>
      <c r="Q41" s="95">
        <f t="shared" si="3"/>
        <v>2.3353733580163616</v>
      </c>
      <c r="R41" s="96">
        <f t="shared" si="9"/>
        <v>1</v>
      </c>
      <c r="S41" s="96">
        <f t="shared" si="10"/>
        <v>0</v>
      </c>
      <c r="Z41" s="61">
        <f t="shared" si="4"/>
        <v>-1.4412902756164356</v>
      </c>
      <c r="AA41" s="61">
        <f t="shared" si="5"/>
        <v>-2.0384443415614362</v>
      </c>
    </row>
    <row r="42" spans="2:27" ht="17" x14ac:dyDescent="0.2">
      <c r="B42" s="104" t="str">
        <f>'1.RETURNS'!A43</f>
        <v>24-Feb-2023</v>
      </c>
      <c r="C42" s="226">
        <f>'1.RETURNS'!D43</f>
        <v>-1.5574917471076215E-2</v>
      </c>
      <c r="D42" s="127">
        <f t="shared" si="14"/>
        <v>1.0250317484970286E-2</v>
      </c>
      <c r="E42" s="128">
        <f t="shared" si="15"/>
        <v>0.16271874554813059</v>
      </c>
      <c r="F42" s="90" t="str">
        <f t="shared" si="6"/>
        <v/>
      </c>
      <c r="G42" s="61">
        <f t="shared" si="7"/>
        <v>2.4257805423083512E-4</v>
      </c>
      <c r="H42" s="130" t="s">
        <v>709</v>
      </c>
      <c r="I42" s="61">
        <f t="shared" si="11"/>
        <v>1.0363058112238664E-4</v>
      </c>
      <c r="J42" s="61">
        <f t="shared" si="12"/>
        <v>1.017991066377238</v>
      </c>
      <c r="K42" s="61">
        <f t="shared" si="0"/>
        <v>16.16010719111771</v>
      </c>
      <c r="L42" s="225">
        <f t="shared" si="8"/>
        <v>0.16160107191117709</v>
      </c>
      <c r="N42" s="95">
        <f t="shared" si="13"/>
        <v>1.6744462977347963</v>
      </c>
      <c r="O42" s="95">
        <f t="shared" si="1"/>
        <v>2.3682013530592561</v>
      </c>
      <c r="P42" s="95">
        <f t="shared" si="2"/>
        <v>2.0998232105444736</v>
      </c>
      <c r="Q42" s="95">
        <f t="shared" si="3"/>
        <v>2.7131642662936057</v>
      </c>
      <c r="R42" s="96">
        <f t="shared" si="9"/>
        <v>0</v>
      </c>
      <c r="S42" s="96">
        <f t="shared" si="10"/>
        <v>0</v>
      </c>
      <c r="Z42" s="61">
        <f t="shared" si="4"/>
        <v>-1.6744462977347963</v>
      </c>
      <c r="AA42" s="61">
        <f t="shared" si="5"/>
        <v>-2.3682013530592561</v>
      </c>
    </row>
    <row r="43" spans="2:27" ht="16" customHeight="1" thickBot="1" x14ac:dyDescent="0.25">
      <c r="B43" s="99" t="str">
        <f>'1.RETURNS'!A44</f>
        <v>27-Feb-2023</v>
      </c>
      <c r="C43" s="226">
        <f>'1.RETURNS'!D44</f>
        <v>2.4878125762513E-3</v>
      </c>
      <c r="D43" s="125">
        <f t="shared" si="14"/>
        <v>9.9825080393742167E-3</v>
      </c>
      <c r="E43" s="126">
        <f t="shared" si="15"/>
        <v>0.1584674023973229</v>
      </c>
      <c r="F43" s="90" t="str">
        <f t="shared" si="6"/>
        <v/>
      </c>
      <c r="G43" s="61">
        <f t="shared" si="7"/>
        <v>6.1892114145541307E-6</v>
      </c>
      <c r="H43" s="107"/>
      <c r="I43" s="61">
        <f t="shared" si="11"/>
        <v>1.1534379937711215E-4</v>
      </c>
      <c r="J43" s="61">
        <f t="shared" si="12"/>
        <v>1.0739823060791651</v>
      </c>
      <c r="K43" s="61">
        <f t="shared" si="0"/>
        <v>17.048940566214743</v>
      </c>
      <c r="L43" s="225">
        <f t="shared" si="8"/>
        <v>0.17048940566214743</v>
      </c>
      <c r="N43" s="95">
        <f t="shared" si="13"/>
        <v>1.7665436914360202</v>
      </c>
      <c r="O43" s="95">
        <f t="shared" si="1"/>
        <v>2.4984564545047454</v>
      </c>
      <c r="P43" s="95">
        <f t="shared" si="2"/>
        <v>2.2153170577858567</v>
      </c>
      <c r="Q43" s="95">
        <f t="shared" si="3"/>
        <v>2.8623929145619726</v>
      </c>
      <c r="R43" s="96">
        <f t="shared" si="9"/>
        <v>0</v>
      </c>
      <c r="S43" s="96">
        <f t="shared" si="10"/>
        <v>0</v>
      </c>
      <c r="Z43" s="61">
        <f t="shared" si="4"/>
        <v>-1.7665436914360202</v>
      </c>
      <c r="AA43" s="61">
        <f t="shared" si="5"/>
        <v>-2.4984564545047454</v>
      </c>
    </row>
    <row r="44" spans="2:27" ht="17" x14ac:dyDescent="0.2">
      <c r="B44" s="104" t="str">
        <f>'1.RETURNS'!A45</f>
        <v>28-Feb-2023</v>
      </c>
      <c r="C44" s="226">
        <f>'1.RETURNS'!D45</f>
        <v>7.5532940637161585E-3</v>
      </c>
      <c r="D44" s="127">
        <f t="shared" si="14"/>
        <v>9.2515985241522752E-3</v>
      </c>
      <c r="E44" s="128">
        <f t="shared" si="15"/>
        <v>0.1468645735483147</v>
      </c>
      <c r="F44" s="90" t="str">
        <f t="shared" si="6"/>
        <v/>
      </c>
      <c r="G44" s="61">
        <f t="shared" si="7"/>
        <v>5.705225121296976E-5</v>
      </c>
      <c r="H44" s="92" t="s">
        <v>710</v>
      </c>
      <c r="I44" s="61">
        <f t="shared" si="11"/>
        <v>1.0166115061200074E-4</v>
      </c>
      <c r="J44" s="61">
        <f t="shared" si="12"/>
        <v>1.0082715438412448</v>
      </c>
      <c r="K44" s="61">
        <f t="shared" si="0"/>
        <v>16.005814554162555</v>
      </c>
      <c r="L44" s="225">
        <f t="shared" si="8"/>
        <v>0.16005814554162556</v>
      </c>
      <c r="N44" s="95">
        <f t="shared" si="13"/>
        <v>1.6584591058392313</v>
      </c>
      <c r="O44" s="95">
        <f t="shared" si="1"/>
        <v>2.3455903624709564</v>
      </c>
      <c r="P44" s="95">
        <f t="shared" si="2"/>
        <v>2.0797746269266231</v>
      </c>
      <c r="Q44" s="95">
        <f t="shared" si="3"/>
        <v>2.6872596566157054</v>
      </c>
      <c r="R44" s="96">
        <f t="shared" si="9"/>
        <v>0</v>
      </c>
      <c r="S44" s="96">
        <f t="shared" si="10"/>
        <v>0</v>
      </c>
      <c r="Z44" s="61">
        <f t="shared" si="4"/>
        <v>-1.6584591058392313</v>
      </c>
      <c r="AA44" s="61">
        <f t="shared" si="5"/>
        <v>-2.3455903624709564</v>
      </c>
    </row>
    <row r="45" spans="2:27" ht="29" customHeight="1" x14ac:dyDescent="0.2">
      <c r="B45" s="99" t="str">
        <f>'1.RETURNS'!A46</f>
        <v>01-Mar-2023</v>
      </c>
      <c r="C45" s="226">
        <f>'1.RETURNS'!D46</f>
        <v>2.1145723363076522E-3</v>
      </c>
      <c r="D45" s="125">
        <f t="shared" si="14"/>
        <v>9.3176851234362309E-3</v>
      </c>
      <c r="E45" s="126">
        <f t="shared" si="15"/>
        <v>0.14791366578851065</v>
      </c>
      <c r="F45" s="90" t="str">
        <f t="shared" si="6"/>
        <v/>
      </c>
      <c r="G45" s="61">
        <f t="shared" si="7"/>
        <v>4.4714161654776022E-6</v>
      </c>
      <c r="H45" s="101" t="s">
        <v>711</v>
      </c>
      <c r="I45" s="61">
        <f t="shared" si="11"/>
        <v>9.5117203141497606E-5</v>
      </c>
      <c r="J45" s="61">
        <f t="shared" si="12"/>
        <v>0.97528048858519478</v>
      </c>
      <c r="K45" s="61">
        <f t="shared" si="0"/>
        <v>15.482097787979962</v>
      </c>
      <c r="L45" s="225">
        <f t="shared" si="8"/>
        <v>0.15482097787979962</v>
      </c>
      <c r="N45" s="95">
        <f t="shared" si="13"/>
        <v>1.6041936489443609</v>
      </c>
      <c r="O45" s="95">
        <f t="shared" si="1"/>
        <v>2.2688416912136802</v>
      </c>
      <c r="P45" s="95">
        <f t="shared" si="2"/>
        <v>2.0117235547167835</v>
      </c>
      <c r="Q45" s="95">
        <f t="shared" si="3"/>
        <v>2.5993314270030665</v>
      </c>
      <c r="R45" s="96">
        <f t="shared" si="9"/>
        <v>0</v>
      </c>
      <c r="S45" s="96">
        <f t="shared" si="10"/>
        <v>0</v>
      </c>
      <c r="Z45" s="61">
        <f t="shared" si="4"/>
        <v>-1.6041936489443609</v>
      </c>
      <c r="AA45" s="61">
        <f t="shared" si="5"/>
        <v>-2.2688416912136802</v>
      </c>
    </row>
    <row r="46" spans="2:27" ht="29" customHeight="1" x14ac:dyDescent="0.2">
      <c r="B46" s="104" t="str">
        <f>'1.RETURNS'!A47</f>
        <v>02-Mar-2023</v>
      </c>
      <c r="C46" s="226">
        <f>'1.RETURNS'!D47</f>
        <v>-8.4768128441018993E-4</v>
      </c>
      <c r="D46" s="127">
        <f t="shared" si="14"/>
        <v>9.2903290525047019E-3</v>
      </c>
      <c r="E46" s="128">
        <f t="shared" si="15"/>
        <v>0.14747940162531464</v>
      </c>
      <c r="F46" s="90" t="str">
        <f t="shared" si="6"/>
        <v/>
      </c>
      <c r="G46" s="61">
        <f t="shared" si="7"/>
        <v>7.1856355993930929E-7</v>
      </c>
      <c r="H46" s="101" t="s">
        <v>712</v>
      </c>
      <c r="I46" s="61">
        <f t="shared" si="11"/>
        <v>8.4296764286820728E-5</v>
      </c>
      <c r="J46" s="61">
        <f t="shared" si="12"/>
        <v>0.91813269349708226</v>
      </c>
      <c r="K46" s="61">
        <f t="shared" si="0"/>
        <v>14.574904665307017</v>
      </c>
      <c r="L46" s="225">
        <f t="shared" si="8"/>
        <v>0.14574904665307017</v>
      </c>
      <c r="N46" s="95">
        <f t="shared" si="13"/>
        <v>1.5101938909213994</v>
      </c>
      <c r="O46" s="95">
        <f t="shared" si="1"/>
        <v>2.1358960396043281</v>
      </c>
      <c r="P46" s="95">
        <f t="shared" si="2"/>
        <v>1.8938440658677238</v>
      </c>
      <c r="Q46" s="95">
        <f t="shared" si="3"/>
        <v>2.4470203108728206</v>
      </c>
      <c r="R46" s="96">
        <f t="shared" si="9"/>
        <v>0</v>
      </c>
      <c r="S46" s="96">
        <f t="shared" si="10"/>
        <v>0</v>
      </c>
      <c r="Z46" s="61">
        <f t="shared" si="4"/>
        <v>-1.5101938909213994</v>
      </c>
      <c r="AA46" s="61">
        <f t="shared" si="5"/>
        <v>-2.1358960396043281</v>
      </c>
    </row>
    <row r="47" spans="2:27" ht="34" x14ac:dyDescent="0.2">
      <c r="B47" s="99" t="str">
        <f>'1.RETURNS'!A48</f>
        <v>03-Mar-2023</v>
      </c>
      <c r="C47" s="226">
        <f>'1.RETURNS'!D48</f>
        <v>-2.7581407103905642E-3</v>
      </c>
      <c r="D47" s="125">
        <f t="shared" si="14"/>
        <v>8.928336836937981E-3</v>
      </c>
      <c r="E47" s="126">
        <f t="shared" si="15"/>
        <v>0.14173295335172967</v>
      </c>
      <c r="F47" s="90" t="str">
        <f t="shared" si="6"/>
        <v/>
      </c>
      <c r="G47" s="61">
        <f t="shared" si="7"/>
        <v>7.6073401783137663E-6</v>
      </c>
      <c r="H47" s="130" t="s">
        <v>713</v>
      </c>
      <c r="I47" s="61">
        <f t="shared" si="11"/>
        <v>7.4724105999791543E-5</v>
      </c>
      <c r="J47" s="61">
        <f t="shared" si="12"/>
        <v>0.86443106144904092</v>
      </c>
      <c r="K47" s="61">
        <f t="shared" si="0"/>
        <v>13.722417684922535</v>
      </c>
      <c r="L47" s="225">
        <f t="shared" si="8"/>
        <v>0.13722417684922536</v>
      </c>
      <c r="N47" s="95">
        <f t="shared" si="13"/>
        <v>1.4218625666739653</v>
      </c>
      <c r="O47" s="95">
        <f t="shared" si="1"/>
        <v>2.0109673620568436</v>
      </c>
      <c r="P47" s="95">
        <f t="shared" si="2"/>
        <v>1.7830730216581776</v>
      </c>
      <c r="Q47" s="95">
        <f t="shared" si="3"/>
        <v>2.3038939574826029</v>
      </c>
      <c r="R47" s="96">
        <f t="shared" si="9"/>
        <v>0</v>
      </c>
      <c r="S47" s="96">
        <f t="shared" si="10"/>
        <v>0</v>
      </c>
      <c r="Z47" s="61">
        <f t="shared" si="4"/>
        <v>-1.4218625666739653</v>
      </c>
      <c r="AA47" s="61">
        <f t="shared" si="5"/>
        <v>-2.0109673620568436</v>
      </c>
    </row>
    <row r="48" spans="2:27" ht="29" customHeight="1" x14ac:dyDescent="0.2">
      <c r="B48" s="104" t="str">
        <f>'1.RETURNS'!A49</f>
        <v>06-Mar-2023</v>
      </c>
      <c r="C48" s="226">
        <f>'1.RETURNS'!D49</f>
        <v>-1.4851304136611461E-2</v>
      </c>
      <c r="D48" s="127">
        <f t="shared" si="14"/>
        <v>9.3456857847848979E-3</v>
      </c>
      <c r="E48" s="128">
        <f t="shared" si="15"/>
        <v>0.14835816250735412</v>
      </c>
      <c r="F48" s="90" t="str">
        <f t="shared" si="6"/>
        <v/>
      </c>
      <c r="G48" s="61">
        <f t="shared" si="7"/>
        <v>2.2056123455813269E-4</v>
      </c>
      <c r="H48" s="101" t="s">
        <v>714</v>
      </c>
      <c r="I48" s="61">
        <f t="shared" si="11"/>
        <v>6.7276224117654174E-5</v>
      </c>
      <c r="J48" s="61">
        <f t="shared" si="12"/>
        <v>0.82022084902576198</v>
      </c>
      <c r="K48" s="61">
        <f t="shared" si="0"/>
        <v>13.020602320034529</v>
      </c>
      <c r="L48" s="225">
        <f t="shared" si="8"/>
        <v>0.1302060232003453</v>
      </c>
      <c r="N48" s="95">
        <f t="shared" si="13"/>
        <v>1.3491432384212398</v>
      </c>
      <c r="O48" s="95">
        <f t="shared" si="1"/>
        <v>1.9081190283750549</v>
      </c>
      <c r="P48" s="95">
        <f t="shared" si="2"/>
        <v>1.6918800502700559</v>
      </c>
      <c r="Q48" s="95">
        <f t="shared" si="3"/>
        <v>2.186064270647571</v>
      </c>
      <c r="R48" s="96">
        <f t="shared" si="9"/>
        <v>1</v>
      </c>
      <c r="S48" s="96">
        <f t="shared" si="10"/>
        <v>0</v>
      </c>
      <c r="Z48" s="61">
        <f t="shared" si="4"/>
        <v>-1.3491432384212398</v>
      </c>
      <c r="AA48" s="61">
        <f t="shared" si="5"/>
        <v>-1.9081190283750549</v>
      </c>
    </row>
    <row r="49" spans="2:27" ht="29" customHeight="1" x14ac:dyDescent="0.2">
      <c r="B49" s="99" t="str">
        <f>'1.RETURNS'!A50</f>
        <v>07-Mar-2023</v>
      </c>
      <c r="C49" s="226">
        <f>'1.RETURNS'!D50</f>
        <v>-7.683127431506823E-3</v>
      </c>
      <c r="D49" s="125">
        <f t="shared" si="14"/>
        <v>9.3606863105878142E-3</v>
      </c>
      <c r="E49" s="126">
        <f t="shared" si="15"/>
        <v>0.14859628847221246</v>
      </c>
      <c r="F49" s="90" t="str">
        <f t="shared" si="6"/>
        <v/>
      </c>
      <c r="G49" s="61">
        <f t="shared" si="7"/>
        <v>5.9030447128772628E-5</v>
      </c>
      <c r="H49" s="101" t="s">
        <v>715</v>
      </c>
      <c r="I49" s="61">
        <f t="shared" si="11"/>
        <v>8.2240913955819309E-5</v>
      </c>
      <c r="J49" s="61">
        <f t="shared" si="12"/>
        <v>0.90686776299424876</v>
      </c>
      <c r="K49" s="61">
        <f t="shared" si="0"/>
        <v>14.396079437425477</v>
      </c>
      <c r="L49" s="225">
        <f t="shared" si="8"/>
        <v>0.14396079437425477</v>
      </c>
      <c r="N49" s="95">
        <f t="shared" si="13"/>
        <v>1.4916647291264575</v>
      </c>
      <c r="O49" s="95">
        <f t="shared" si="1"/>
        <v>2.1096898924778436</v>
      </c>
      <c r="P49" s="95">
        <f t="shared" si="2"/>
        <v>1.870607749443848</v>
      </c>
      <c r="Q49" s="95">
        <f t="shared" si="3"/>
        <v>2.4169968579054615</v>
      </c>
      <c r="R49" s="96">
        <f t="shared" si="9"/>
        <v>0</v>
      </c>
      <c r="S49" s="96">
        <f t="shared" si="10"/>
        <v>0</v>
      </c>
      <c r="Z49" s="61">
        <f t="shared" si="4"/>
        <v>-1.4916647291264575</v>
      </c>
      <c r="AA49" s="61">
        <f t="shared" si="5"/>
        <v>-2.1096898924778436</v>
      </c>
    </row>
    <row r="50" spans="2:27" ht="17" x14ac:dyDescent="0.2">
      <c r="B50" s="104" t="str">
        <f>'1.RETURNS'!A51</f>
        <v>08-Mar-2023</v>
      </c>
      <c r="C50" s="226">
        <f>'1.RETURNS'!D51</f>
        <v>-4.3656826068705946E-3</v>
      </c>
      <c r="D50" s="127">
        <f t="shared" si="14"/>
        <v>9.1803668737868646E-3</v>
      </c>
      <c r="E50" s="128">
        <f t="shared" si="15"/>
        <v>0.14573380615425321</v>
      </c>
      <c r="F50" s="90" t="str">
        <f t="shared" si="6"/>
        <v/>
      </c>
      <c r="G50" s="61">
        <f t="shared" si="7"/>
        <v>1.9059184623932433E-5</v>
      </c>
      <c r="H50" s="101" t="s">
        <v>716</v>
      </c>
      <c r="I50" s="61">
        <f t="shared" si="11"/>
        <v>7.8807821575323675E-5</v>
      </c>
      <c r="J50" s="61">
        <f t="shared" si="12"/>
        <v>0.88773769535445357</v>
      </c>
      <c r="K50" s="61">
        <f t="shared" si="0"/>
        <v>14.092399028193023</v>
      </c>
      <c r="L50" s="225">
        <f t="shared" si="8"/>
        <v>0.14092399028193023</v>
      </c>
      <c r="N50" s="95">
        <f t="shared" si="13"/>
        <v>1.4601985679853136</v>
      </c>
      <c r="O50" s="95">
        <f t="shared" si="1"/>
        <v>2.0651867002937485</v>
      </c>
      <c r="P50" s="95">
        <f t="shared" si="2"/>
        <v>1.8311479139147591</v>
      </c>
      <c r="Q50" s="95">
        <f t="shared" si="3"/>
        <v>2.3660111295957025</v>
      </c>
      <c r="R50" s="96">
        <f t="shared" si="9"/>
        <v>0</v>
      </c>
      <c r="S50" s="96">
        <f t="shared" si="10"/>
        <v>0</v>
      </c>
      <c r="Z50" s="61">
        <f t="shared" si="4"/>
        <v>-1.4601985679853136</v>
      </c>
      <c r="AA50" s="61">
        <f t="shared" si="5"/>
        <v>-2.0651867002937485</v>
      </c>
    </row>
    <row r="51" spans="2:27" ht="16" customHeight="1" thickBot="1" x14ac:dyDescent="0.25">
      <c r="B51" s="99" t="str">
        <f>'1.RETURNS'!A52</f>
        <v>09-Mar-2023</v>
      </c>
      <c r="C51" s="226">
        <f>'1.RETURNS'!D52</f>
        <v>1.0511055683539985E-2</v>
      </c>
      <c r="D51" s="125">
        <f t="shared" si="14"/>
        <v>9.5284937388309815E-3</v>
      </c>
      <c r="E51" s="126">
        <f t="shared" si="15"/>
        <v>0.15126014881189687</v>
      </c>
      <c r="F51" s="90" t="str">
        <f t="shared" si="6"/>
        <v/>
      </c>
      <c r="G51" s="61">
        <f t="shared" si="7"/>
        <v>1.1048229158247822E-4</v>
      </c>
      <c r="H51" s="107"/>
      <c r="I51" s="61">
        <f t="shared" si="11"/>
        <v>7.1892566801418363E-5</v>
      </c>
      <c r="J51" s="61">
        <f t="shared" si="12"/>
        <v>0.84789484490364941</v>
      </c>
      <c r="K51" s="61">
        <f t="shared" si="0"/>
        <v>13.459913385292429</v>
      </c>
      <c r="L51" s="225">
        <f t="shared" si="8"/>
        <v>0.1345991338529243</v>
      </c>
      <c r="N51" s="95">
        <f t="shared" si="13"/>
        <v>1.3946629109132231</v>
      </c>
      <c r="O51" s="95">
        <f t="shared" si="1"/>
        <v>1.9724983698517933</v>
      </c>
      <c r="P51" s="95">
        <f t="shared" si="2"/>
        <v>1.7489635560022823</v>
      </c>
      <c r="Q51" s="95">
        <f t="shared" si="3"/>
        <v>2.2598213979951081</v>
      </c>
      <c r="R51" s="96">
        <f t="shared" si="9"/>
        <v>0</v>
      </c>
      <c r="S51" s="96">
        <f t="shared" si="10"/>
        <v>0</v>
      </c>
      <c r="Z51" s="61">
        <f t="shared" si="4"/>
        <v>-1.3946629109132231</v>
      </c>
      <c r="AA51" s="61">
        <f t="shared" si="5"/>
        <v>-1.9724983698517933</v>
      </c>
    </row>
    <row r="52" spans="2:27" ht="17" x14ac:dyDescent="0.2">
      <c r="B52" s="104" t="str">
        <f>'1.RETURNS'!A53</f>
        <v>10-Mar-2023</v>
      </c>
      <c r="C52" s="226">
        <f>'1.RETURNS'!D53</f>
        <v>3.8205554190330077E-3</v>
      </c>
      <c r="D52" s="127">
        <f t="shared" si="14"/>
        <v>9.5890492248295062E-3</v>
      </c>
      <c r="E52" s="128">
        <f t="shared" si="15"/>
        <v>0.15222143735073337</v>
      </c>
      <c r="F52" s="90" t="str">
        <f t="shared" si="6"/>
        <v/>
      </c>
      <c r="G52" s="61">
        <f t="shared" si="7"/>
        <v>1.4596643709902482E-5</v>
      </c>
      <c r="H52" s="131" t="s">
        <v>717</v>
      </c>
      <c r="I52" s="61">
        <f t="shared" si="11"/>
        <v>7.5156910939453437E-5</v>
      </c>
      <c r="J52" s="61">
        <f t="shared" si="12"/>
        <v>0.8669308561785849</v>
      </c>
      <c r="K52" s="61">
        <f t="shared" si="0"/>
        <v>13.762100696021035</v>
      </c>
      <c r="L52" s="225">
        <f t="shared" si="8"/>
        <v>0.13762100696021035</v>
      </c>
      <c r="N52" s="95">
        <f t="shared" si="13"/>
        <v>1.4259743631014898</v>
      </c>
      <c r="O52" s="95">
        <f t="shared" si="1"/>
        <v>2.0167827542114569</v>
      </c>
      <c r="P52" s="95">
        <f t="shared" si="2"/>
        <v>1.7882293802629474</v>
      </c>
      <c r="Q52" s="95">
        <f t="shared" si="3"/>
        <v>2.3105564459437291</v>
      </c>
      <c r="R52" s="96">
        <f t="shared" si="9"/>
        <v>0</v>
      </c>
      <c r="S52" s="96">
        <f t="shared" si="10"/>
        <v>0</v>
      </c>
      <c r="Z52" s="61">
        <f t="shared" si="4"/>
        <v>-1.4259743631014898</v>
      </c>
      <c r="AA52" s="61">
        <f t="shared" si="5"/>
        <v>-2.0167827542114569</v>
      </c>
    </row>
    <row r="53" spans="2:27" ht="17" x14ac:dyDescent="0.2">
      <c r="B53" s="99" t="str">
        <f>'1.RETURNS'!A54</f>
        <v>13-Mar-2023</v>
      </c>
      <c r="C53" s="226">
        <f>'1.RETURNS'!D54</f>
        <v>-1.6681933197953237E-2</v>
      </c>
      <c r="D53" s="125">
        <f t="shared" si="14"/>
        <v>1.0140331547763582E-2</v>
      </c>
      <c r="E53" s="126">
        <f t="shared" si="15"/>
        <v>0.16097277292275075</v>
      </c>
      <c r="F53" s="90" t="str">
        <f t="shared" si="6"/>
        <v/>
      </c>
      <c r="G53" s="61">
        <f t="shared" si="7"/>
        <v>2.7828689522097432E-4</v>
      </c>
      <c r="H53" s="132" t="s">
        <v>718</v>
      </c>
      <c r="I53" s="61">
        <f t="shared" si="11"/>
        <v>6.8343038669525663E-5</v>
      </c>
      <c r="J53" s="61">
        <f t="shared" si="12"/>
        <v>0.82669848596405249</v>
      </c>
      <c r="K53" s="61">
        <f t="shared" si="0"/>
        <v>13.123431618567023</v>
      </c>
      <c r="L53" s="225">
        <f t="shared" si="8"/>
        <v>0.13123431618567025</v>
      </c>
      <c r="N53" s="95">
        <f t="shared" si="13"/>
        <v>1.3597980030332619</v>
      </c>
      <c r="O53" s="95">
        <f t="shared" si="1"/>
        <v>1.9231882652952554</v>
      </c>
      <c r="P53" s="95">
        <f t="shared" si="2"/>
        <v>1.705241554945051</v>
      </c>
      <c r="Q53" s="95">
        <f t="shared" si="3"/>
        <v>2.2033285607297404</v>
      </c>
      <c r="R53" s="96">
        <f t="shared" si="9"/>
        <v>1</v>
      </c>
      <c r="S53" s="96">
        <f t="shared" si="10"/>
        <v>0</v>
      </c>
      <c r="Z53" s="61">
        <f t="shared" si="4"/>
        <v>-1.3597980030332619</v>
      </c>
      <c r="AA53" s="61">
        <f t="shared" si="5"/>
        <v>-1.9231882652952554</v>
      </c>
    </row>
    <row r="54" spans="2:27" ht="34" x14ac:dyDescent="0.2">
      <c r="B54" s="104" t="str">
        <f>'1.RETURNS'!A55</f>
        <v>14-Mar-2023</v>
      </c>
      <c r="C54" s="226">
        <f>'1.RETURNS'!D55</f>
        <v>4.0394348524568028E-3</v>
      </c>
      <c r="D54" s="127">
        <f t="shared" si="14"/>
        <v>1.0223505075536418E-2</v>
      </c>
      <c r="E54" s="128">
        <f t="shared" si="15"/>
        <v>0.16229311174365585</v>
      </c>
      <c r="F54" s="90" t="str">
        <f t="shared" si="6"/>
        <v/>
      </c>
      <c r="G54" s="61">
        <f t="shared" si="7"/>
        <v>1.6317033927242712E-5</v>
      </c>
      <c r="H54" s="132" t="s">
        <v>719</v>
      </c>
      <c r="I54" s="61">
        <f t="shared" si="11"/>
        <v>8.8920272391194245E-5</v>
      </c>
      <c r="J54" s="61">
        <f t="shared" si="12"/>
        <v>0.94297546304871716</v>
      </c>
      <c r="K54" s="61">
        <f t="shared" si="0"/>
        <v>14.969271405977297</v>
      </c>
      <c r="L54" s="225">
        <f t="shared" si="8"/>
        <v>0.14969271405977297</v>
      </c>
      <c r="N54" s="95">
        <f t="shared" si="13"/>
        <v>1.5510566105219257</v>
      </c>
      <c r="O54" s="95">
        <f t="shared" si="1"/>
        <v>2.1936889637360606</v>
      </c>
      <c r="P54" s="95">
        <f t="shared" si="2"/>
        <v>1.9450875647958366</v>
      </c>
      <c r="Q54" s="95">
        <f t="shared" si="3"/>
        <v>2.5132316135546118</v>
      </c>
      <c r="R54" s="96">
        <f t="shared" si="9"/>
        <v>0</v>
      </c>
      <c r="S54" s="96">
        <f t="shared" si="10"/>
        <v>0</v>
      </c>
      <c r="Z54" s="61">
        <f t="shared" si="4"/>
        <v>-1.5510566105219257</v>
      </c>
      <c r="AA54" s="61">
        <f t="shared" si="5"/>
        <v>-2.1936889637360606</v>
      </c>
    </row>
    <row r="55" spans="2:27" ht="29" customHeight="1" x14ac:dyDescent="0.2">
      <c r="B55" s="99" t="str">
        <f>'1.RETURNS'!A56</f>
        <v>15-Mar-2023</v>
      </c>
      <c r="C55" s="226">
        <f>'1.RETURNS'!D56</f>
        <v>-3.4328481905995306E-3</v>
      </c>
      <c r="D55" s="125">
        <f t="shared" si="14"/>
        <v>9.003364818886703E-3</v>
      </c>
      <c r="E55" s="126">
        <f t="shared" si="15"/>
        <v>0.14292398564137385</v>
      </c>
      <c r="F55" s="90" t="str">
        <f t="shared" si="6"/>
        <v/>
      </c>
      <c r="G55" s="61">
        <f t="shared" si="7"/>
        <v>1.1784446699702472E-5</v>
      </c>
      <c r="H55" s="132" t="s">
        <v>720</v>
      </c>
      <c r="I55" s="61">
        <f t="shared" si="11"/>
        <v>8.0213934925239371E-5</v>
      </c>
      <c r="J55" s="61">
        <f t="shared" si="12"/>
        <v>0.89562232511946338</v>
      </c>
      <c r="K55" s="61">
        <f t="shared" si="0"/>
        <v>14.217563645421224</v>
      </c>
      <c r="L55" s="225">
        <f t="shared" si="8"/>
        <v>0.14217563645421225</v>
      </c>
      <c r="N55" s="95">
        <f t="shared" si="13"/>
        <v>1.4731676298514593</v>
      </c>
      <c r="O55" s="95">
        <f t="shared" si="1"/>
        <v>2.0835290919851781</v>
      </c>
      <c r="P55" s="95">
        <f t="shared" si="2"/>
        <v>1.8474116407134991</v>
      </c>
      <c r="Q55" s="95">
        <f t="shared" si="3"/>
        <v>2.3870253569675683</v>
      </c>
      <c r="R55" s="96">
        <f t="shared" si="9"/>
        <v>0</v>
      </c>
      <c r="S55" s="96">
        <f t="shared" si="10"/>
        <v>0</v>
      </c>
      <c r="Z55" s="61">
        <f t="shared" si="4"/>
        <v>-1.4731676298514593</v>
      </c>
      <c r="AA55" s="61">
        <f t="shared" si="5"/>
        <v>-2.0835290919851781</v>
      </c>
    </row>
    <row r="56" spans="2:27" ht="29" customHeight="1" x14ac:dyDescent="0.2">
      <c r="B56" s="104" t="str">
        <f>'1.RETURNS'!A57</f>
        <v>16-Mar-2023</v>
      </c>
      <c r="C56" s="226">
        <f>'1.RETURNS'!D57</f>
        <v>-6.3454123510951772E-3</v>
      </c>
      <c r="D56" s="127">
        <f t="shared" si="14"/>
        <v>8.992259886969927E-3</v>
      </c>
      <c r="E56" s="128">
        <f t="shared" si="15"/>
        <v>0.14274770031230527</v>
      </c>
      <c r="F56" s="90" t="str">
        <f t="shared" si="6"/>
        <v/>
      </c>
      <c r="G56" s="61">
        <f t="shared" si="7"/>
        <v>4.0264257905431223E-5</v>
      </c>
      <c r="H56" s="132" t="s">
        <v>721</v>
      </c>
      <c r="I56" s="61">
        <f t="shared" si="11"/>
        <v>7.2360289356423714E-5</v>
      </c>
      <c r="J56" s="61">
        <f t="shared" si="12"/>
        <v>0.85064851352614335</v>
      </c>
      <c r="K56" s="61">
        <f t="shared" si="0"/>
        <v>13.503626519501633</v>
      </c>
      <c r="L56" s="225">
        <f t="shared" si="8"/>
        <v>0.13503626519501633</v>
      </c>
      <c r="N56" s="95">
        <f t="shared" si="13"/>
        <v>1.3991922927343547</v>
      </c>
      <c r="O56" s="95">
        <f t="shared" si="1"/>
        <v>1.978904360997545</v>
      </c>
      <c r="P56" s="95">
        <f t="shared" si="2"/>
        <v>1.7546435835375318</v>
      </c>
      <c r="Q56" s="95">
        <f t="shared" si="3"/>
        <v>2.2671605147658989</v>
      </c>
      <c r="R56" s="96">
        <f t="shared" si="9"/>
        <v>0</v>
      </c>
      <c r="S56" s="96">
        <f t="shared" si="10"/>
        <v>0</v>
      </c>
      <c r="Z56" s="61">
        <f t="shared" si="4"/>
        <v>-1.3991922927343547</v>
      </c>
      <c r="AA56" s="61">
        <f t="shared" si="5"/>
        <v>-1.978904360997545</v>
      </c>
    </row>
    <row r="57" spans="2:27" ht="29" customHeight="1" x14ac:dyDescent="0.2">
      <c r="B57" s="99" t="str">
        <f>'1.RETURNS'!A58</f>
        <v>17-Mar-2023</v>
      </c>
      <c r="C57" s="226">
        <f>'1.RETURNS'!D58</f>
        <v>6.7446710168615137E-3</v>
      </c>
      <c r="D57" s="125">
        <f t="shared" si="14"/>
        <v>9.1673877559822585E-3</v>
      </c>
      <c r="E57" s="126">
        <f t="shared" si="15"/>
        <v>0.14552776904656523</v>
      </c>
      <c r="F57" s="90" t="str">
        <f t="shared" si="6"/>
        <v/>
      </c>
      <c r="G57" s="61">
        <f t="shared" si="7"/>
        <v>4.5490587125691726E-5</v>
      </c>
      <c r="H57" s="133" t="s">
        <v>722</v>
      </c>
      <c r="I57" s="61">
        <f t="shared" si="11"/>
        <v>6.8532671743503271E-5</v>
      </c>
      <c r="J57" s="61">
        <f t="shared" si="12"/>
        <v>0.82784462155348493</v>
      </c>
      <c r="K57" s="61">
        <f t="shared" si="0"/>
        <v>13.141625956997416</v>
      </c>
      <c r="L57" s="225">
        <f t="shared" si="8"/>
        <v>0.13141625956997416</v>
      </c>
      <c r="N57" s="95">
        <f t="shared" si="13"/>
        <v>1.3616832283145179</v>
      </c>
      <c r="O57" s="95">
        <f t="shared" si="1"/>
        <v>1.9258545753870941</v>
      </c>
      <c r="P57" s="95">
        <f t="shared" si="2"/>
        <v>1.7076057035045134</v>
      </c>
      <c r="Q57" s="95">
        <f t="shared" si="3"/>
        <v>2.2063832576011402</v>
      </c>
      <c r="R57" s="96">
        <f t="shared" si="9"/>
        <v>0</v>
      </c>
      <c r="S57" s="96">
        <f t="shared" si="10"/>
        <v>0</v>
      </c>
      <c r="Z57" s="61">
        <f t="shared" si="4"/>
        <v>-1.3616832283145179</v>
      </c>
      <c r="AA57" s="61">
        <f t="shared" si="5"/>
        <v>-1.9258545753870941</v>
      </c>
    </row>
    <row r="58" spans="2:27" ht="17" x14ac:dyDescent="0.2">
      <c r="B58" s="104" t="str">
        <f>'1.RETURNS'!A59</f>
        <v>20-Mar-2023</v>
      </c>
      <c r="C58" s="226">
        <f>'1.RETURNS'!D59</f>
        <v>1.0476356326837036E-2</v>
      </c>
      <c r="D58" s="127">
        <f t="shared" si="14"/>
        <v>9.2671397014851935E-3</v>
      </c>
      <c r="E58" s="128">
        <f t="shared" si="15"/>
        <v>0.14711128209013902</v>
      </c>
      <c r="F58" s="90" t="str">
        <f t="shared" si="6"/>
        <v/>
      </c>
      <c r="G58" s="61">
        <f t="shared" si="7"/>
        <v>1.0975404188685838E-4</v>
      </c>
      <c r="I58" s="61">
        <f t="shared" si="11"/>
        <v>6.5801829694546956E-5</v>
      </c>
      <c r="J58" s="61">
        <f t="shared" si="12"/>
        <v>0.81118326964100385</v>
      </c>
      <c r="K58" s="61">
        <f t="shared" si="0"/>
        <v>12.877135194998084</v>
      </c>
      <c r="L58" s="225">
        <f t="shared" si="8"/>
        <v>0.12877135194998085</v>
      </c>
      <c r="N58" s="95">
        <f t="shared" si="13"/>
        <v>1.3342777431913586</v>
      </c>
      <c r="O58" s="95">
        <f t="shared" si="1"/>
        <v>1.8870944747868474</v>
      </c>
      <c r="P58" s="95">
        <f t="shared" si="2"/>
        <v>1.6732381195242503</v>
      </c>
      <c r="Q58" s="95">
        <f t="shared" si="3"/>
        <v>2.1619771855538095</v>
      </c>
      <c r="R58" s="96">
        <f t="shared" si="9"/>
        <v>0</v>
      </c>
      <c r="S58" s="96">
        <f t="shared" si="10"/>
        <v>0</v>
      </c>
      <c r="Z58" s="61">
        <f t="shared" si="4"/>
        <v>-1.3342777431913586</v>
      </c>
      <c r="AA58" s="61">
        <f t="shared" si="5"/>
        <v>-1.8870944747868474</v>
      </c>
    </row>
    <row r="59" spans="2:27" ht="17" x14ac:dyDescent="0.2">
      <c r="B59" s="99" t="str">
        <f>'1.RETURNS'!A60</f>
        <v>21-Mar-2023</v>
      </c>
      <c r="C59" s="226">
        <f>'1.RETURNS'!D60</f>
        <v>1.0563192393945127E-2</v>
      </c>
      <c r="D59" s="125">
        <f t="shared" si="14"/>
        <v>9.3748203930555576E-3</v>
      </c>
      <c r="E59" s="126">
        <f t="shared" si="15"/>
        <v>0.14882066007553083</v>
      </c>
      <c r="F59" s="90" t="str">
        <f t="shared" si="6"/>
        <v/>
      </c>
      <c r="G59" s="61">
        <f t="shared" si="7"/>
        <v>1.1158103355150019E-4</v>
      </c>
      <c r="I59" s="61">
        <f t="shared" si="11"/>
        <v>6.9906959429050751E-5</v>
      </c>
      <c r="J59" s="61">
        <f t="shared" si="12"/>
        <v>0.83610381789016341</v>
      </c>
      <c r="K59" s="61">
        <f t="shared" si="0"/>
        <v>13.272736634214057</v>
      </c>
      <c r="L59" s="225">
        <f t="shared" si="8"/>
        <v>0.13272736634214058</v>
      </c>
      <c r="N59" s="95">
        <f t="shared" si="13"/>
        <v>1.375268397364608</v>
      </c>
      <c r="O59" s="95">
        <f t="shared" si="1"/>
        <v>1.945068339226212</v>
      </c>
      <c r="P59" s="95">
        <f t="shared" si="2"/>
        <v>1.7246420535678986</v>
      </c>
      <c r="Q59" s="95">
        <f t="shared" si="3"/>
        <v>2.2283957851262834</v>
      </c>
      <c r="R59" s="96">
        <f t="shared" si="9"/>
        <v>0</v>
      </c>
      <c r="S59" s="96">
        <f t="shared" si="10"/>
        <v>0</v>
      </c>
      <c r="Z59" s="61">
        <f t="shared" si="4"/>
        <v>-1.375268397364608</v>
      </c>
      <c r="AA59" s="61">
        <f t="shared" si="5"/>
        <v>-1.945068339226212</v>
      </c>
    </row>
    <row r="60" spans="2:27" ht="17" x14ac:dyDescent="0.2">
      <c r="B60" s="104" t="str">
        <f>'1.RETURNS'!A61</f>
        <v>22-Mar-2023</v>
      </c>
      <c r="C60" s="226">
        <f>'1.RETURNS'!D61</f>
        <v>-8.6289840852801277E-3</v>
      </c>
      <c r="D60" s="127">
        <f t="shared" si="14"/>
        <v>9.4511475844763493E-3</v>
      </c>
      <c r="E60" s="128">
        <f t="shared" si="15"/>
        <v>0.15003231667615943</v>
      </c>
      <c r="F60" s="90" t="str">
        <f t="shared" si="6"/>
        <v/>
      </c>
      <c r="G60" s="61">
        <f t="shared" si="7"/>
        <v>7.4459366344017716E-5</v>
      </c>
      <c r="I60" s="61">
        <f t="shared" si="11"/>
        <v>7.3579018869843156E-5</v>
      </c>
      <c r="J60" s="61">
        <f t="shared" si="12"/>
        <v>0.8577821335854644</v>
      </c>
      <c r="K60" s="61">
        <f t="shared" si="0"/>
        <v>13.616869227249145</v>
      </c>
      <c r="L60" s="225">
        <f t="shared" si="8"/>
        <v>0.13616869227249145</v>
      </c>
      <c r="N60" s="95">
        <f t="shared" si="13"/>
        <v>1.4109260535622228</v>
      </c>
      <c r="O60" s="95">
        <f t="shared" si="1"/>
        <v>1.9954996428567615</v>
      </c>
      <c r="P60" s="95">
        <f t="shared" si="2"/>
        <v>1.7693581929977853</v>
      </c>
      <c r="Q60" s="95">
        <f t="shared" si="3"/>
        <v>2.2861731403905452</v>
      </c>
      <c r="R60" s="96">
        <f t="shared" si="9"/>
        <v>0</v>
      </c>
      <c r="S60" s="96">
        <f t="shared" si="10"/>
        <v>0</v>
      </c>
      <c r="Z60" s="61">
        <f t="shared" si="4"/>
        <v>-1.4109260535622228</v>
      </c>
      <c r="AA60" s="61">
        <f t="shared" si="5"/>
        <v>-1.9954996428567615</v>
      </c>
    </row>
    <row r="61" spans="2:27" ht="17" x14ac:dyDescent="0.2">
      <c r="B61" s="99" t="str">
        <f>'1.RETURNS'!A62</f>
        <v>23-Mar-2023</v>
      </c>
      <c r="C61" s="226">
        <f>'1.RETURNS'!D62</f>
        <v>-2.8929542546789915E-3</v>
      </c>
      <c r="D61" s="125">
        <f t="shared" si="14"/>
        <v>8.6007805778876619E-3</v>
      </c>
      <c r="E61" s="126">
        <f t="shared" si="15"/>
        <v>0.13653315894075091</v>
      </c>
      <c r="F61" s="90" t="str">
        <f t="shared" si="6"/>
        <v/>
      </c>
      <c r="G61" s="61">
        <f t="shared" si="7"/>
        <v>8.3691843196652798E-6</v>
      </c>
      <c r="I61" s="61">
        <f t="shared" si="11"/>
        <v>7.2988102673768454E-5</v>
      </c>
      <c r="J61" s="61">
        <f t="shared" si="12"/>
        <v>0.85433074785921437</v>
      </c>
      <c r="K61" s="61">
        <f t="shared" si="0"/>
        <v>13.562080177387852</v>
      </c>
      <c r="L61" s="225">
        <f t="shared" si="8"/>
        <v>0.13562080177387853</v>
      </c>
      <c r="N61" s="95">
        <f t="shared" si="13"/>
        <v>1.4052490292323918</v>
      </c>
      <c r="O61" s="95">
        <f t="shared" si="1"/>
        <v>1.9874705190100048</v>
      </c>
      <c r="P61" s="95">
        <f t="shared" si="2"/>
        <v>1.762238975456601</v>
      </c>
      <c r="Q61" s="95">
        <f t="shared" si="3"/>
        <v>2.2769744580730453</v>
      </c>
      <c r="R61" s="96">
        <f t="shared" si="9"/>
        <v>0</v>
      </c>
      <c r="S61" s="96">
        <f t="shared" si="10"/>
        <v>0</v>
      </c>
      <c r="Z61" s="61">
        <f t="shared" si="4"/>
        <v>-1.4052490292323918</v>
      </c>
      <c r="AA61" s="61">
        <f t="shared" si="5"/>
        <v>-1.9874705190100048</v>
      </c>
    </row>
    <row r="62" spans="2:27" ht="17" x14ac:dyDescent="0.2">
      <c r="B62" s="104" t="str">
        <f>'1.RETURNS'!A63</f>
        <v>24-Mar-2023</v>
      </c>
      <c r="C62" s="226">
        <f>'1.RETURNS'!D63</f>
        <v>3.5960394652092033E-3</v>
      </c>
      <c r="D62" s="127">
        <f t="shared" si="14"/>
        <v>7.9698160764101467E-3</v>
      </c>
      <c r="E62" s="128">
        <f t="shared" si="15"/>
        <v>0.1265169079986348</v>
      </c>
      <c r="F62" s="90" t="str">
        <f t="shared" si="6"/>
        <v/>
      </c>
      <c r="G62" s="61">
        <f t="shared" si="7"/>
        <v>1.2931499835342092E-5</v>
      </c>
      <c r="I62" s="61">
        <f t="shared" si="11"/>
        <v>6.5876805704669707E-5</v>
      </c>
      <c r="J62" s="61">
        <f t="shared" si="12"/>
        <v>0.81164527784414364</v>
      </c>
      <c r="K62" s="61">
        <f t="shared" si="0"/>
        <v>12.884469347853162</v>
      </c>
      <c r="L62" s="225">
        <f t="shared" si="8"/>
        <v>0.12884469347853161</v>
      </c>
      <c r="N62" s="95">
        <f t="shared" si="13"/>
        <v>1.3350376790599745</v>
      </c>
      <c r="O62" s="95">
        <f t="shared" si="1"/>
        <v>1.888169266588011</v>
      </c>
      <c r="P62" s="95">
        <f t="shared" si="2"/>
        <v>1.6741911097620403</v>
      </c>
      <c r="Q62" s="95">
        <f t="shared" si="3"/>
        <v>2.1632085363867342</v>
      </c>
      <c r="R62" s="96">
        <f t="shared" si="9"/>
        <v>0</v>
      </c>
      <c r="S62" s="96">
        <f t="shared" si="10"/>
        <v>0</v>
      </c>
      <c r="Z62" s="61">
        <f t="shared" si="4"/>
        <v>-1.3350376790599745</v>
      </c>
      <c r="AA62" s="61">
        <f t="shared" si="5"/>
        <v>-1.888169266588011</v>
      </c>
    </row>
    <row r="63" spans="2:27" ht="17" x14ac:dyDescent="0.2">
      <c r="B63" s="99" t="str">
        <f>'1.RETURNS'!A64</f>
        <v>27-Mar-2023</v>
      </c>
      <c r="C63" s="226">
        <f>'1.RETURNS'!D64</f>
        <v>1.0092626843755111E-2</v>
      </c>
      <c r="D63" s="125">
        <f t="shared" si="14"/>
        <v>8.2864074971650773E-3</v>
      </c>
      <c r="E63" s="126">
        <f t="shared" si="15"/>
        <v>0.13154264099783974</v>
      </c>
      <c r="F63" s="90" t="str">
        <f t="shared" si="6"/>
        <v/>
      </c>
      <c r="G63" s="61">
        <f t="shared" si="7"/>
        <v>1.0186111660728627E-4</v>
      </c>
      <c r="I63" s="61">
        <f t="shared" si="11"/>
        <v>6.0288434832503462E-5</v>
      </c>
      <c r="J63" s="61">
        <f t="shared" si="12"/>
        <v>0.77645627586170918</v>
      </c>
      <c r="K63" s="61">
        <f t="shared" si="0"/>
        <v>12.325861259072679</v>
      </c>
      <c r="L63" s="225">
        <f t="shared" si="8"/>
        <v>0.12325861259072679</v>
      </c>
      <c r="N63" s="95">
        <f t="shared" si="13"/>
        <v>1.2771569215203646</v>
      </c>
      <c r="O63" s="95">
        <f t="shared" si="1"/>
        <v>1.8063074066365556</v>
      </c>
      <c r="P63" s="95">
        <f t="shared" si="2"/>
        <v>1.6016063046894684</v>
      </c>
      <c r="Q63" s="95">
        <f t="shared" si="3"/>
        <v>2.0694223079033733</v>
      </c>
      <c r="R63" s="96">
        <f t="shared" si="9"/>
        <v>0</v>
      </c>
      <c r="S63" s="96">
        <f t="shared" si="10"/>
        <v>0</v>
      </c>
      <c r="Z63" s="61">
        <f t="shared" si="4"/>
        <v>-1.2771569215203646</v>
      </c>
      <c r="AA63" s="61">
        <f t="shared" si="5"/>
        <v>-1.8063074066365556</v>
      </c>
    </row>
    <row r="64" spans="2:27" ht="17" x14ac:dyDescent="0.2">
      <c r="B64" s="104" t="str">
        <f>'1.RETURNS'!A65</f>
        <v>28-Mar-2023</v>
      </c>
      <c r="C64" s="226">
        <f>'1.RETURNS'!D65</f>
        <v>-5.0517287015175672E-3</v>
      </c>
      <c r="D64" s="127">
        <f t="shared" si="14"/>
        <v>8.164235971199205E-3</v>
      </c>
      <c r="E64" s="128">
        <f t="shared" si="15"/>
        <v>0.12960322814784594</v>
      </c>
      <c r="F64" s="90" t="str">
        <f t="shared" si="6"/>
        <v/>
      </c>
      <c r="G64" s="61">
        <f t="shared" si="7"/>
        <v>2.5519962873736365E-5</v>
      </c>
      <c r="I64" s="61">
        <f t="shared" si="11"/>
        <v>6.4431281268356567E-5</v>
      </c>
      <c r="J64" s="61">
        <f t="shared" si="12"/>
        <v>0.80269098206194256</v>
      </c>
      <c r="K64" s="61">
        <f t="shared" si="0"/>
        <v>12.742324309020651</v>
      </c>
      <c r="L64" s="225">
        <f t="shared" si="8"/>
        <v>0.1274232430902065</v>
      </c>
      <c r="N64" s="95">
        <f t="shared" si="13"/>
        <v>1.3203091731658247</v>
      </c>
      <c r="O64" s="95">
        <f t="shared" si="1"/>
        <v>1.8673384596315548</v>
      </c>
      <c r="P64" s="95">
        <f t="shared" si="2"/>
        <v>1.6557209691698844</v>
      </c>
      <c r="Q64" s="95">
        <f t="shared" si="3"/>
        <v>2.1393434199348293</v>
      </c>
      <c r="R64" s="96">
        <f t="shared" si="9"/>
        <v>0</v>
      </c>
      <c r="S64" s="96">
        <f t="shared" si="10"/>
        <v>0</v>
      </c>
      <c r="Z64" s="61">
        <f t="shared" si="4"/>
        <v>-1.3203091731658247</v>
      </c>
      <c r="AA64" s="61">
        <f t="shared" si="5"/>
        <v>-1.8673384596315548</v>
      </c>
    </row>
    <row r="65" spans="2:27" ht="17" x14ac:dyDescent="0.2">
      <c r="B65" s="99" t="str">
        <f>'1.RETURNS'!A66</f>
        <v>29-Mar-2023</v>
      </c>
      <c r="C65" s="226">
        <f>'1.RETURNS'!D66</f>
        <v>-1.6564715140296429E-3</v>
      </c>
      <c r="D65" s="125">
        <f t="shared" si="14"/>
        <v>8.1422689123247256E-3</v>
      </c>
      <c r="E65" s="126">
        <f t="shared" si="15"/>
        <v>0.1292545118989416</v>
      </c>
      <c r="F65" s="90" t="str">
        <f t="shared" si="6"/>
        <v/>
      </c>
      <c r="G65" s="61">
        <f t="shared" si="7"/>
        <v>2.7438978767916573E-6</v>
      </c>
      <c r="I65" s="61">
        <f t="shared" si="11"/>
        <v>6.0318585365476713E-5</v>
      </c>
      <c r="J65" s="61">
        <f t="shared" si="12"/>
        <v>0.77665040633142479</v>
      </c>
      <c r="K65" s="61">
        <f t="shared" si="0"/>
        <v>12.328942984741285</v>
      </c>
      <c r="L65" s="225">
        <f t="shared" si="8"/>
        <v>0.12328942984741285</v>
      </c>
      <c r="N65" s="95">
        <f t="shared" si="13"/>
        <v>1.2774762377275781</v>
      </c>
      <c r="O65" s="95">
        <f t="shared" si="1"/>
        <v>1.8067590216420653</v>
      </c>
      <c r="P65" s="95">
        <f t="shared" si="2"/>
        <v>1.6020067400956783</v>
      </c>
      <c r="Q65" s="95">
        <f t="shared" si="3"/>
        <v>2.0699397071918617</v>
      </c>
      <c r="R65" s="96">
        <f t="shared" si="9"/>
        <v>0</v>
      </c>
      <c r="S65" s="96">
        <f t="shared" si="10"/>
        <v>0</v>
      </c>
      <c r="Z65" s="61">
        <f t="shared" si="4"/>
        <v>-1.2774762377275781</v>
      </c>
      <c r="AA65" s="61">
        <f t="shared" si="5"/>
        <v>-1.8067590216420653</v>
      </c>
    </row>
    <row r="66" spans="2:27" ht="17" x14ac:dyDescent="0.2">
      <c r="B66" s="104" t="str">
        <f>'1.RETURNS'!A67</f>
        <v>30-Mar-2023</v>
      </c>
      <c r="C66" s="226">
        <f>'1.RETURNS'!D67</f>
        <v>-1.0795267239449648E-2</v>
      </c>
      <c r="D66" s="127">
        <f t="shared" si="14"/>
        <v>8.4455966633761974E-3</v>
      </c>
      <c r="E66" s="128">
        <f t="shared" si="15"/>
        <v>0.13406969066910185</v>
      </c>
      <c r="F66" s="90" t="str">
        <f t="shared" si="6"/>
        <v/>
      </c>
      <c r="G66" s="61">
        <f t="shared" si="7"/>
        <v>1.1653779477113484E-4</v>
      </c>
      <c r="I66" s="61">
        <f t="shared" si="11"/>
        <v>5.454518734833437E-5</v>
      </c>
      <c r="J66" s="61">
        <f t="shared" si="12"/>
        <v>0.73854713694072616</v>
      </c>
      <c r="K66" s="61">
        <f t="shared" si="0"/>
        <v>11.724072335063557</v>
      </c>
      <c r="L66" s="225">
        <f t="shared" si="8"/>
        <v>0.11724072335063557</v>
      </c>
      <c r="N66" s="95">
        <f t="shared" si="13"/>
        <v>1.2148019368715786</v>
      </c>
      <c r="O66" s="95">
        <f t="shared" si="1"/>
        <v>1.7181175619010081</v>
      </c>
      <c r="P66" s="95">
        <f t="shared" si="2"/>
        <v>1.5234106383155783</v>
      </c>
      <c r="Q66" s="95">
        <f t="shared" si="3"/>
        <v>1.9683863317701045</v>
      </c>
      <c r="R66" s="96">
        <f t="shared" si="9"/>
        <v>0</v>
      </c>
      <c r="S66" s="96">
        <f t="shared" si="10"/>
        <v>0</v>
      </c>
      <c r="Z66" s="61">
        <f t="shared" si="4"/>
        <v>-1.2148019368715786</v>
      </c>
      <c r="AA66" s="61">
        <f t="shared" si="5"/>
        <v>-1.7181175619010081</v>
      </c>
    </row>
    <row r="67" spans="2:27" ht="17" x14ac:dyDescent="0.2">
      <c r="B67" s="99" t="str">
        <f>'1.RETURNS'!A68</f>
        <v>31-Mar-2023</v>
      </c>
      <c r="C67" s="226">
        <f>'1.RETURNS'!D68</f>
        <v>-1.2444999511498685E-2</v>
      </c>
      <c r="D67" s="125">
        <f t="shared" si="14"/>
        <v>8.8058150356063302E-3</v>
      </c>
      <c r="E67" s="126">
        <f t="shared" si="15"/>
        <v>0.13978798005268639</v>
      </c>
      <c r="F67" s="90" t="str">
        <f t="shared" si="6"/>
        <v/>
      </c>
      <c r="G67" s="61">
        <f t="shared" si="7"/>
        <v>1.5487801284120252E-4</v>
      </c>
      <c r="I67" s="61">
        <f t="shared" si="11"/>
        <v>6.1017188723197702E-5</v>
      </c>
      <c r="J67" s="61">
        <f t="shared" si="12"/>
        <v>0.7811349993643717</v>
      </c>
      <c r="K67" s="61">
        <f t="shared" si="0"/>
        <v>12.400133692120347</v>
      </c>
      <c r="L67" s="225">
        <f t="shared" si="8"/>
        <v>0.12400133692120346</v>
      </c>
      <c r="N67" s="95">
        <f t="shared" si="13"/>
        <v>1.2848527368432221</v>
      </c>
      <c r="O67" s="95">
        <f t="shared" si="1"/>
        <v>1.8171917451101995</v>
      </c>
      <c r="P67" s="95">
        <f t="shared" si="2"/>
        <v>1.6112571675811964</v>
      </c>
      <c r="Q67" s="95">
        <f t="shared" si="3"/>
        <v>2.0818921083157353</v>
      </c>
      <c r="R67" s="96">
        <f t="shared" si="9"/>
        <v>0</v>
      </c>
      <c r="S67" s="96">
        <f t="shared" si="10"/>
        <v>0</v>
      </c>
      <c r="Z67" s="61">
        <f t="shared" si="4"/>
        <v>-1.2848527368432221</v>
      </c>
      <c r="AA67" s="61">
        <f t="shared" si="5"/>
        <v>-1.8171917451101995</v>
      </c>
    </row>
    <row r="68" spans="2:27" ht="17" x14ac:dyDescent="0.2">
      <c r="B68" s="104" t="str">
        <f>'1.RETURNS'!A69</f>
        <v>03-Apr-2023</v>
      </c>
      <c r="C68" s="226">
        <f>'1.RETURNS'!D69</f>
        <v>8.9746060145755296E-3</v>
      </c>
      <c r="D68" s="127">
        <f t="shared" si="14"/>
        <v>8.5478929376542681E-3</v>
      </c>
      <c r="E68" s="128">
        <f t="shared" si="15"/>
        <v>0.13569359367983122</v>
      </c>
      <c r="F68" s="90" t="str">
        <f t="shared" si="6"/>
        <v/>
      </c>
      <c r="G68" s="61">
        <f t="shared" si="7"/>
        <v>8.0543553116855273E-5</v>
      </c>
      <c r="I68" s="61">
        <f t="shared" si="11"/>
        <v>7.0352411698838303E-5</v>
      </c>
      <c r="J68" s="61">
        <f t="shared" ref="J68:J131" si="16">SQRT(I68)*100</f>
        <v>0.83876344519082557</v>
      </c>
      <c r="K68" s="61">
        <f t="shared" ref="K68:K131" si="17">J68*SQRT(252)</f>
        <v>13.314956908720079</v>
      </c>
      <c r="L68" s="225">
        <f t="shared" si="8"/>
        <v>0.1331495690872008</v>
      </c>
      <c r="N68" s="95">
        <f t="shared" ref="N68:N131" si="18">-_xlfn.NORM.S.INV(1-$P$1)*J68</f>
        <v>1.3796430949764413</v>
      </c>
      <c r="O68" s="95">
        <f t="shared" ref="O68:O131" si="19">-_xlfn.NORM.S.INV(1-$R$1)*J68</f>
        <v>1.9512555575428483</v>
      </c>
      <c r="P68" s="95">
        <f t="shared" ref="P68:P131" si="20">_xlfn.NORM.S.DIST(_xlfn.NORM.S.INV(1-$P$1),FALSE)/(1-$P$1)*J68</f>
        <v>1.7301281008641709</v>
      </c>
      <c r="Q68" s="95">
        <f t="shared" ref="Q68:Q131" si="21">_xlfn.NORM.S.DIST(_xlfn.NORM.S.INV(1-$R$1),FALSE)/(1-$R$1)*J68</f>
        <v>2.2354842616288284</v>
      </c>
      <c r="R68" s="96">
        <f t="shared" si="9"/>
        <v>0</v>
      </c>
      <c r="S68" s="96">
        <f t="shared" si="10"/>
        <v>0</v>
      </c>
      <c r="Z68" s="61">
        <f t="shared" ref="Z68:Z131" si="22">-N68</f>
        <v>-1.3796430949764413</v>
      </c>
      <c r="AA68" s="61">
        <f t="shared" ref="AA68:AA131" si="23">-O68</f>
        <v>-1.9512555575428483</v>
      </c>
    </row>
    <row r="69" spans="2:27" ht="17" x14ac:dyDescent="0.2">
      <c r="B69" s="99" t="str">
        <f>'1.RETURNS'!A70</f>
        <v>04-Apr-2023</v>
      </c>
      <c r="C69" s="226">
        <f>'1.RETURNS'!D70</f>
        <v>1.4946502341013758E-2</v>
      </c>
      <c r="D69" s="125">
        <f t="shared" si="14"/>
        <v>9.0387531619741494E-3</v>
      </c>
      <c r="E69" s="126">
        <f t="shared" si="15"/>
        <v>0.14348575817209391</v>
      </c>
      <c r="F69" s="90" t="str">
        <f t="shared" ref="F69:F132" si="24">IF(E69="—","",IF(E69&gt;=0.25,"■ HIGH VOLATILITY",IF(E69&gt;=0.17,"▲ ELEVATED","")))</f>
        <v/>
      </c>
      <c r="G69" s="61">
        <f t="shared" ref="G69:G132" si="25">C69^2</f>
        <v>2.2339793222992974E-4</v>
      </c>
      <c r="I69" s="61">
        <f t="shared" ref="I69:I132" si="26">$I$1+$K$1*G68+$M$1*I68</f>
        <v>7.0853905255698088E-5</v>
      </c>
      <c r="J69" s="61">
        <f t="shared" si="16"/>
        <v>0.84174761808809473</v>
      </c>
      <c r="K69" s="61">
        <f t="shared" si="17"/>
        <v>13.362329184852438</v>
      </c>
      <c r="L69" s="225">
        <f t="shared" ref="L69:L132" si="27">K69/100</f>
        <v>0.13362329184852439</v>
      </c>
      <c r="N69" s="95">
        <f t="shared" si="18"/>
        <v>1.3845516225899648</v>
      </c>
      <c r="O69" s="95">
        <f t="shared" si="19"/>
        <v>1.9581977818181808</v>
      </c>
      <c r="P69" s="95">
        <f t="shared" si="20"/>
        <v>1.7362835925191844</v>
      </c>
      <c r="Q69" s="95">
        <f t="shared" si="21"/>
        <v>2.2434377216706003</v>
      </c>
      <c r="R69" s="96">
        <f t="shared" ref="R69:R132" si="28">IF(C69*100&lt;-N69,1,0)</f>
        <v>0</v>
      </c>
      <c r="S69" s="96">
        <f t="shared" ref="S69:S132" si="29">IF(C69*100&lt;-O69,1,0)</f>
        <v>0</v>
      </c>
      <c r="Z69" s="61">
        <f t="shared" si="22"/>
        <v>-1.3845516225899648</v>
      </c>
      <c r="AA69" s="61">
        <f t="shared" si="23"/>
        <v>-1.9581977818181808</v>
      </c>
    </row>
    <row r="70" spans="2:27" ht="17" x14ac:dyDescent="0.2">
      <c r="B70" s="104" t="str">
        <f>'1.RETURNS'!A71</f>
        <v>05-Apr-2023</v>
      </c>
      <c r="C70" s="226">
        <f>'1.RETURNS'!D71</f>
        <v>-5.8389634955059472E-4</v>
      </c>
      <c r="D70" s="127">
        <f t="shared" si="14"/>
        <v>8.9692795324447464E-3</v>
      </c>
      <c r="E70" s="128">
        <f t="shared" si="15"/>
        <v>0.14238289849362293</v>
      </c>
      <c r="F70" s="90" t="str">
        <f t="shared" si="24"/>
        <v/>
      </c>
      <c r="G70" s="61">
        <f t="shared" si="25"/>
        <v>3.4093494701851029E-7</v>
      </c>
      <c r="I70" s="61">
        <f t="shared" si="26"/>
        <v>8.5565612690336357E-5</v>
      </c>
      <c r="J70" s="61">
        <f t="shared" si="16"/>
        <v>0.92501682520014916</v>
      </c>
      <c r="K70" s="61">
        <f t="shared" si="17"/>
        <v>14.6841868681806</v>
      </c>
      <c r="L70" s="225">
        <f t="shared" si="27"/>
        <v>0.14684186868180599</v>
      </c>
      <c r="N70" s="95">
        <f t="shared" si="18"/>
        <v>1.5215172799216008</v>
      </c>
      <c r="O70" s="95">
        <f t="shared" si="19"/>
        <v>2.151910924756375</v>
      </c>
      <c r="P70" s="95">
        <f t="shared" si="20"/>
        <v>1.9080440525002078</v>
      </c>
      <c r="Q70" s="95">
        <f t="shared" si="21"/>
        <v>2.4653679965825681</v>
      </c>
      <c r="R70" s="96">
        <f t="shared" si="28"/>
        <v>0</v>
      </c>
      <c r="S70" s="96">
        <f t="shared" si="29"/>
        <v>0</v>
      </c>
      <c r="Z70" s="61">
        <f t="shared" si="22"/>
        <v>-1.5215172799216008</v>
      </c>
      <c r="AA70" s="61">
        <f t="shared" si="23"/>
        <v>-2.151910924756375</v>
      </c>
    </row>
    <row r="71" spans="2:27" ht="17" x14ac:dyDescent="0.2">
      <c r="B71" s="99" t="str">
        <f>'1.RETURNS'!A72</f>
        <v>06-Apr-2023</v>
      </c>
      <c r="C71" s="226">
        <f>'1.RETURNS'!D72</f>
        <v>1.0343198855054246E-2</v>
      </c>
      <c r="D71" s="125">
        <f t="shared" si="14"/>
        <v>8.9597508902150534E-3</v>
      </c>
      <c r="E71" s="126">
        <f t="shared" si="15"/>
        <v>0.14223163598759167</v>
      </c>
      <c r="F71" s="90" t="str">
        <f t="shared" si="24"/>
        <v/>
      </c>
      <c r="G71" s="61">
        <f t="shared" si="25"/>
        <v>1.0698176255519546E-4</v>
      </c>
      <c r="I71" s="61">
        <f t="shared" si="26"/>
        <v>7.5764864281487743E-5</v>
      </c>
      <c r="J71" s="61">
        <f t="shared" si="16"/>
        <v>0.87043014815370301</v>
      </c>
      <c r="K71" s="61">
        <f t="shared" si="17"/>
        <v>13.817650234006834</v>
      </c>
      <c r="L71" s="225">
        <f t="shared" si="27"/>
        <v>0.13817650234006834</v>
      </c>
      <c r="N71" s="95">
        <f t="shared" si="18"/>
        <v>1.4317301861985252</v>
      </c>
      <c r="O71" s="95">
        <f t="shared" si="19"/>
        <v>2.0249233246584208</v>
      </c>
      <c r="P71" s="95">
        <f t="shared" si="20"/>
        <v>1.7954474146372315</v>
      </c>
      <c r="Q71" s="95">
        <f t="shared" si="21"/>
        <v>2.3198828086769558</v>
      </c>
      <c r="R71" s="96">
        <f t="shared" si="28"/>
        <v>0</v>
      </c>
      <c r="S71" s="96">
        <f t="shared" si="29"/>
        <v>0</v>
      </c>
      <c r="Z71" s="61">
        <f t="shared" si="22"/>
        <v>-1.4317301861985252</v>
      </c>
      <c r="AA71" s="61">
        <f t="shared" si="23"/>
        <v>-2.0249233246584208</v>
      </c>
    </row>
    <row r="72" spans="2:27" ht="17" x14ac:dyDescent="0.2">
      <c r="B72" s="104" t="str">
        <f>'1.RETURNS'!A73</f>
        <v>07-Apr-2023</v>
      </c>
      <c r="C72" s="226">
        <f>'1.RETURNS'!D73</f>
        <v>4.1242304592966844E-3</v>
      </c>
      <c r="D72" s="127">
        <f t="shared" si="14"/>
        <v>8.9654764247489461E-3</v>
      </c>
      <c r="E72" s="128">
        <f t="shared" si="15"/>
        <v>0.14232252603058923</v>
      </c>
      <c r="F72" s="90" t="str">
        <f t="shared" si="24"/>
        <v/>
      </c>
      <c r="G72" s="61">
        <f t="shared" si="25"/>
        <v>1.7009276881390539E-5</v>
      </c>
      <c r="I72" s="61">
        <f t="shared" si="26"/>
        <v>7.8098310894784116E-5</v>
      </c>
      <c r="J72" s="61">
        <f t="shared" si="16"/>
        <v>0.88373248720856767</v>
      </c>
      <c r="K72" s="61">
        <f t="shared" si="17"/>
        <v>14.028818319974638</v>
      </c>
      <c r="L72" s="225">
        <f t="shared" si="27"/>
        <v>0.14028818319974637</v>
      </c>
      <c r="N72" s="95">
        <f t="shared" si="18"/>
        <v>1.4536105868398574</v>
      </c>
      <c r="O72" s="95">
        <f t="shared" si="19"/>
        <v>2.0558691928384758</v>
      </c>
      <c r="P72" s="95">
        <f t="shared" si="20"/>
        <v>1.8228863197755072</v>
      </c>
      <c r="Q72" s="95">
        <f t="shared" si="21"/>
        <v>2.3553363918898427</v>
      </c>
      <c r="R72" s="96">
        <f t="shared" si="28"/>
        <v>0</v>
      </c>
      <c r="S72" s="96">
        <f t="shared" si="29"/>
        <v>0</v>
      </c>
      <c r="Z72" s="61">
        <f t="shared" si="22"/>
        <v>-1.4536105868398574</v>
      </c>
      <c r="AA72" s="61">
        <f t="shared" si="23"/>
        <v>-2.0558691928384758</v>
      </c>
    </row>
    <row r="73" spans="2:27" ht="17" x14ac:dyDescent="0.2">
      <c r="B73" s="99" t="str">
        <f>'1.RETURNS'!A74</f>
        <v>10-Apr-2023</v>
      </c>
      <c r="C73" s="226">
        <f>'1.RETURNS'!D74</f>
        <v>-6.1194363860255256E-3</v>
      </c>
      <c r="D73" s="125">
        <f t="shared" si="14"/>
        <v>8.1581281110565916E-3</v>
      </c>
      <c r="E73" s="126">
        <f t="shared" si="15"/>
        <v>0.12950626887396521</v>
      </c>
      <c r="F73" s="90" t="str">
        <f t="shared" si="24"/>
        <v/>
      </c>
      <c r="G73" s="61">
        <f t="shared" si="25"/>
        <v>3.7447501682613145E-5</v>
      </c>
      <c r="I73" s="61">
        <f t="shared" si="26"/>
        <v>7.1084491948705553E-5</v>
      </c>
      <c r="J73" s="61">
        <f t="shared" si="16"/>
        <v>0.84311619572100238</v>
      </c>
      <c r="K73" s="61">
        <f t="shared" si="17"/>
        <v>13.384054681251794</v>
      </c>
      <c r="L73" s="225">
        <f t="shared" si="27"/>
        <v>0.13384054681251795</v>
      </c>
      <c r="N73" s="95">
        <f t="shared" si="18"/>
        <v>1.3868027324732175</v>
      </c>
      <c r="O73" s="95">
        <f t="shared" si="19"/>
        <v>1.9613815694849552</v>
      </c>
      <c r="P73" s="95">
        <f t="shared" si="20"/>
        <v>1.7391065751306514</v>
      </c>
      <c r="Q73" s="95">
        <f t="shared" si="21"/>
        <v>2.2470852742394731</v>
      </c>
      <c r="R73" s="96">
        <f t="shared" si="28"/>
        <v>0</v>
      </c>
      <c r="S73" s="96">
        <f t="shared" si="29"/>
        <v>0</v>
      </c>
      <c r="Z73" s="61">
        <f t="shared" si="22"/>
        <v>-1.3868027324732175</v>
      </c>
      <c r="AA73" s="61">
        <f t="shared" si="23"/>
        <v>-1.9613815694849552</v>
      </c>
    </row>
    <row r="74" spans="2:27" ht="17" x14ac:dyDescent="0.2">
      <c r="B74" s="104" t="str">
        <f>'1.RETURNS'!A75</f>
        <v>11-Apr-2023</v>
      </c>
      <c r="C74" s="226">
        <f>'1.RETURNS'!D75</f>
        <v>4.0606441288001905E-3</v>
      </c>
      <c r="D74" s="127">
        <f t="shared" si="14"/>
        <v>8.1585046679408767E-3</v>
      </c>
      <c r="E74" s="128">
        <f t="shared" si="15"/>
        <v>0.12951224652918694</v>
      </c>
      <c r="F74" s="90" t="str">
        <f t="shared" si="24"/>
        <v/>
      </c>
      <c r="G74" s="61">
        <f t="shared" si="25"/>
        <v>1.648883074075946E-5</v>
      </c>
      <c r="I74" s="61">
        <f t="shared" si="26"/>
        <v>6.7166568324661041E-5</v>
      </c>
      <c r="J74" s="61">
        <f t="shared" si="16"/>
        <v>0.81955212356909324</v>
      </c>
      <c r="K74" s="61">
        <f t="shared" si="17"/>
        <v>13.009986632512188</v>
      </c>
      <c r="L74" s="225">
        <f t="shared" si="27"/>
        <v>0.13009986632512188</v>
      </c>
      <c r="N74" s="95">
        <f t="shared" si="18"/>
        <v>1.3480432829284035</v>
      </c>
      <c r="O74" s="95">
        <f t="shared" si="19"/>
        <v>1.9065633403306166</v>
      </c>
      <c r="P74" s="95">
        <f t="shared" si="20"/>
        <v>1.6905006617058791</v>
      </c>
      <c r="Q74" s="95">
        <f t="shared" si="21"/>
        <v>2.1842819740509505</v>
      </c>
      <c r="R74" s="96">
        <f t="shared" si="28"/>
        <v>0</v>
      </c>
      <c r="S74" s="96">
        <f t="shared" si="29"/>
        <v>0</v>
      </c>
      <c r="Z74" s="61">
        <f t="shared" si="22"/>
        <v>-1.3480432829284035</v>
      </c>
      <c r="AA74" s="61">
        <f t="shared" si="23"/>
        <v>-1.9065633403306166</v>
      </c>
    </row>
    <row r="75" spans="2:27" ht="17" x14ac:dyDescent="0.2">
      <c r="B75" s="99" t="str">
        <f>'1.RETURNS'!A76</f>
        <v>12-Apr-2023</v>
      </c>
      <c r="C75" s="226">
        <f>'1.RETURNS'!D76</f>
        <v>1.5445853980873777E-2</v>
      </c>
      <c r="D75" s="125">
        <f t="shared" si="14"/>
        <v>8.6590516629709187E-3</v>
      </c>
      <c r="E75" s="126">
        <f t="shared" si="15"/>
        <v>0.137458183739288</v>
      </c>
      <c r="F75" s="90" t="str">
        <f t="shared" si="24"/>
        <v/>
      </c>
      <c r="G75" s="61">
        <f t="shared" si="25"/>
        <v>2.385744051984743E-4</v>
      </c>
      <c r="I75" s="61">
        <f t="shared" si="26"/>
        <v>6.1740466150037829E-5</v>
      </c>
      <c r="J75" s="61">
        <f t="shared" si="16"/>
        <v>0.7857510174987864</v>
      </c>
      <c r="K75" s="61">
        <f t="shared" si="17"/>
        <v>12.473410708306501</v>
      </c>
      <c r="L75" s="225">
        <f t="shared" si="27"/>
        <v>0.12473410708306501</v>
      </c>
      <c r="N75" s="95">
        <f t="shared" si="18"/>
        <v>1.292445411013688</v>
      </c>
      <c r="O75" s="95">
        <f t="shared" si="19"/>
        <v>1.8279302090837293</v>
      </c>
      <c r="P75" s="95">
        <f t="shared" si="20"/>
        <v>1.6207786873067402</v>
      </c>
      <c r="Q75" s="95">
        <f t="shared" si="21"/>
        <v>2.0941947854889515</v>
      </c>
      <c r="R75" s="96">
        <f t="shared" si="28"/>
        <v>0</v>
      </c>
      <c r="S75" s="96">
        <f t="shared" si="29"/>
        <v>0</v>
      </c>
      <c r="Z75" s="61">
        <f t="shared" si="22"/>
        <v>-1.292445411013688</v>
      </c>
      <c r="AA75" s="61">
        <f t="shared" si="23"/>
        <v>-1.8279302090837293</v>
      </c>
    </row>
    <row r="76" spans="2:27" ht="17" x14ac:dyDescent="0.2">
      <c r="B76" s="104" t="str">
        <f>'1.RETURNS'!A77</f>
        <v>13-Apr-2023</v>
      </c>
      <c r="C76" s="226">
        <f>'1.RETURNS'!D77</f>
        <v>-1.7442874629951025E-4</v>
      </c>
      <c r="D76" s="127">
        <f t="shared" si="14"/>
        <v>8.4442143088023815E-3</v>
      </c>
      <c r="E76" s="128">
        <f t="shared" si="15"/>
        <v>0.13404774647054565</v>
      </c>
      <c r="F76" s="90" t="str">
        <f t="shared" si="24"/>
        <v/>
      </c>
      <c r="G76" s="61">
        <f t="shared" si="25"/>
        <v>3.0425387535618912E-8</v>
      </c>
      <c r="I76" s="61">
        <f t="shared" si="26"/>
        <v>7.9336836747379583E-5</v>
      </c>
      <c r="J76" s="61">
        <f t="shared" si="16"/>
        <v>0.89071228097169286</v>
      </c>
      <c r="K76" s="61">
        <f t="shared" si="17"/>
        <v>14.139619110973131</v>
      </c>
      <c r="L76" s="225">
        <f t="shared" si="27"/>
        <v>0.14139619110973131</v>
      </c>
      <c r="N76" s="95">
        <f t="shared" si="18"/>
        <v>1.4650913259265073</v>
      </c>
      <c r="O76" s="95">
        <f t="shared" si="19"/>
        <v>2.0721066212205659</v>
      </c>
      <c r="P76" s="95">
        <f t="shared" si="20"/>
        <v>1.8372836297644659</v>
      </c>
      <c r="Q76" s="95">
        <f t="shared" si="21"/>
        <v>2.3739390374824048</v>
      </c>
      <c r="R76" s="96">
        <f t="shared" si="28"/>
        <v>0</v>
      </c>
      <c r="S76" s="96">
        <f t="shared" si="29"/>
        <v>0</v>
      </c>
      <c r="Z76" s="61">
        <f t="shared" si="22"/>
        <v>-1.4650913259265073</v>
      </c>
      <c r="AA76" s="61">
        <f t="shared" si="23"/>
        <v>-2.0721066212205659</v>
      </c>
    </row>
    <row r="77" spans="2:27" ht="17" x14ac:dyDescent="0.2">
      <c r="B77" s="99" t="str">
        <f>'1.RETURNS'!A78</f>
        <v>14-Apr-2023</v>
      </c>
      <c r="C77" s="226">
        <f>'1.RETURNS'!D78</f>
        <v>1.5712590896733079E-2</v>
      </c>
      <c r="D77" s="125">
        <f t="shared" si="14"/>
        <v>8.9041976772443899E-3</v>
      </c>
      <c r="E77" s="126">
        <f t="shared" si="15"/>
        <v>0.14134975607128578</v>
      </c>
      <c r="F77" s="90" t="str">
        <f t="shared" si="24"/>
        <v/>
      </c>
      <c r="G77" s="61">
        <f t="shared" si="25"/>
        <v>2.4688551268809919E-4</v>
      </c>
      <c r="I77" s="61">
        <f t="shared" si="26"/>
        <v>7.0439353774026208E-5</v>
      </c>
      <c r="J77" s="61">
        <f t="shared" si="16"/>
        <v>0.83928156046720226</v>
      </c>
      <c r="K77" s="61">
        <f t="shared" si="17"/>
        <v>13.323181733750616</v>
      </c>
      <c r="L77" s="225">
        <f t="shared" si="27"/>
        <v>0.13323181733750616</v>
      </c>
      <c r="N77" s="95">
        <f t="shared" si="18"/>
        <v>1.3804953187679685</v>
      </c>
      <c r="O77" s="95">
        <f t="shared" si="19"/>
        <v>1.9524608739145553</v>
      </c>
      <c r="P77" s="95">
        <f t="shared" si="20"/>
        <v>1.7311968238805182</v>
      </c>
      <c r="Q77" s="95">
        <f t="shared" si="21"/>
        <v>2.2368651498312055</v>
      </c>
      <c r="R77" s="96">
        <f t="shared" si="28"/>
        <v>0</v>
      </c>
      <c r="S77" s="96">
        <f t="shared" si="29"/>
        <v>0</v>
      </c>
      <c r="Z77" s="61">
        <f t="shared" si="22"/>
        <v>-1.3804953187679685</v>
      </c>
      <c r="AA77" s="61">
        <f t="shared" si="23"/>
        <v>-1.9524608739145553</v>
      </c>
    </row>
    <row r="78" spans="2:27" ht="17" x14ac:dyDescent="0.2">
      <c r="B78" s="104" t="str">
        <f>'1.RETURNS'!A79</f>
        <v>17-Apr-2023</v>
      </c>
      <c r="C78" s="226">
        <f>'1.RETURNS'!D79</f>
        <v>-2.9469996815207466E-2</v>
      </c>
      <c r="D78" s="127">
        <f t="shared" si="14"/>
        <v>1.1297368086163374E-2</v>
      </c>
      <c r="E78" s="128">
        <f t="shared" si="15"/>
        <v>0.17934015855327606</v>
      </c>
      <c r="F78" s="90" t="str">
        <f t="shared" si="24"/>
        <v>▲ ELEVATED</v>
      </c>
      <c r="G78" s="61">
        <f t="shared" si="25"/>
        <v>8.6848071228833815E-4</v>
      </c>
      <c r="I78" s="61">
        <f t="shared" si="26"/>
        <v>8.75620019767322E-5</v>
      </c>
      <c r="J78" s="61">
        <f t="shared" si="16"/>
        <v>0.93574570251074196</v>
      </c>
      <c r="K78" s="61">
        <f t="shared" si="17"/>
        <v>14.854502515445112</v>
      </c>
      <c r="L78" s="225">
        <f t="shared" si="27"/>
        <v>0.14854502515445112</v>
      </c>
      <c r="N78" s="95">
        <f t="shared" si="18"/>
        <v>1.5391647126790466</v>
      </c>
      <c r="O78" s="95">
        <f t="shared" si="19"/>
        <v>2.1768700256787175</v>
      </c>
      <c r="P78" s="95">
        <f t="shared" si="20"/>
        <v>1.9301746451389434</v>
      </c>
      <c r="Q78" s="95">
        <f t="shared" si="21"/>
        <v>2.4939627529591055</v>
      </c>
      <c r="R78" s="96">
        <f t="shared" si="28"/>
        <v>1</v>
      </c>
      <c r="S78" s="96">
        <f t="shared" si="29"/>
        <v>1</v>
      </c>
      <c r="Z78" s="61">
        <f t="shared" si="22"/>
        <v>-1.5391647126790466</v>
      </c>
      <c r="AA78" s="61">
        <f t="shared" si="23"/>
        <v>-2.1768700256787175</v>
      </c>
    </row>
    <row r="79" spans="2:27" ht="17" x14ac:dyDescent="0.2">
      <c r="B79" s="99" t="str">
        <f>'1.RETURNS'!A80</f>
        <v>18-Apr-2023</v>
      </c>
      <c r="C79" s="226">
        <f>'1.RETURNS'!D80</f>
        <v>1.1151498195056108E-2</v>
      </c>
      <c r="D79" s="125">
        <f t="shared" si="14"/>
        <v>1.132430669071433E-2</v>
      </c>
      <c r="E79" s="126">
        <f t="shared" si="15"/>
        <v>0.17976779564312975</v>
      </c>
      <c r="F79" s="90" t="str">
        <f t="shared" si="24"/>
        <v>▲ ELEVATED</v>
      </c>
      <c r="G79" s="61">
        <f t="shared" si="25"/>
        <v>1.2435591199433962E-4</v>
      </c>
      <c r="I79" s="61">
        <f t="shared" si="26"/>
        <v>1.642757729090562E-4</v>
      </c>
      <c r="J79" s="61">
        <f t="shared" si="16"/>
        <v>1.2817011075483089</v>
      </c>
      <c r="K79" s="61">
        <f t="shared" si="17"/>
        <v>20.346374314133257</v>
      </c>
      <c r="L79" s="225">
        <f t="shared" si="27"/>
        <v>0.20346374314133256</v>
      </c>
      <c r="N79" s="95">
        <f t="shared" si="18"/>
        <v>2.1082107154185539</v>
      </c>
      <c r="O79" s="95">
        <f t="shared" si="19"/>
        <v>2.9816826467007993</v>
      </c>
      <c r="P79" s="95">
        <f t="shared" si="20"/>
        <v>2.6437812899363524</v>
      </c>
      <c r="Q79" s="95">
        <f t="shared" si="21"/>
        <v>3.416008018070722</v>
      </c>
      <c r="R79" s="96">
        <f t="shared" si="28"/>
        <v>0</v>
      </c>
      <c r="S79" s="96">
        <f t="shared" si="29"/>
        <v>0</v>
      </c>
      <c r="Z79" s="61">
        <f t="shared" si="22"/>
        <v>-2.1082107154185539</v>
      </c>
      <c r="AA79" s="61">
        <f t="shared" si="23"/>
        <v>-2.9816826467007993</v>
      </c>
    </row>
    <row r="80" spans="2:27" ht="17" x14ac:dyDescent="0.2">
      <c r="B80" s="104" t="str">
        <f>'1.RETURNS'!A81</f>
        <v>19-Apr-2023</v>
      </c>
      <c r="C80" s="226">
        <f>'1.RETURNS'!D81</f>
        <v>1.2211845116262402E-3</v>
      </c>
      <c r="D80" s="127">
        <f t="shared" si="14"/>
        <v>1.109390212235513E-2</v>
      </c>
      <c r="E80" s="128">
        <f t="shared" si="15"/>
        <v>0.17611023651026</v>
      </c>
      <c r="F80" s="90" t="str">
        <f t="shared" si="24"/>
        <v>▲ ELEVATED</v>
      </c>
      <c r="G80" s="61">
        <f t="shared" si="25"/>
        <v>1.4912916114358188E-6</v>
      </c>
      <c r="I80" s="61">
        <f t="shared" si="26"/>
        <v>1.5506999817213173E-4</v>
      </c>
      <c r="J80" s="61">
        <f t="shared" si="16"/>
        <v>1.245271047491797</v>
      </c>
      <c r="K80" s="61">
        <f t="shared" si="17"/>
        <v>19.768065039193189</v>
      </c>
      <c r="L80" s="225">
        <f t="shared" si="27"/>
        <v>0.19768065039193189</v>
      </c>
      <c r="N80" s="95">
        <f t="shared" si="18"/>
        <v>2.0482885990045405</v>
      </c>
      <c r="O80" s="95">
        <f t="shared" si="19"/>
        <v>2.8969336539371526</v>
      </c>
      <c r="P80" s="95">
        <f t="shared" si="20"/>
        <v>2.5686365384795207</v>
      </c>
      <c r="Q80" s="95">
        <f t="shared" si="21"/>
        <v>3.3189141039600547</v>
      </c>
      <c r="R80" s="96">
        <f t="shared" si="28"/>
        <v>0</v>
      </c>
      <c r="S80" s="96">
        <f t="shared" si="29"/>
        <v>0</v>
      </c>
      <c r="Z80" s="61">
        <f t="shared" si="22"/>
        <v>-2.0482885990045405</v>
      </c>
      <c r="AA80" s="61">
        <f t="shared" si="23"/>
        <v>-2.8969336539371526</v>
      </c>
    </row>
    <row r="81" spans="2:27" ht="17" x14ac:dyDescent="0.2">
      <c r="B81" s="99" t="str">
        <f>'1.RETURNS'!A82</f>
        <v>20-Apr-2023</v>
      </c>
      <c r="C81" s="226">
        <f>'1.RETURNS'!D82</f>
        <v>-2.5101233496032725E-3</v>
      </c>
      <c r="D81" s="125">
        <f t="shared" si="14"/>
        <v>1.108620757102078E-2</v>
      </c>
      <c r="E81" s="126">
        <f t="shared" si="15"/>
        <v>0.17598808929457452</v>
      </c>
      <c r="F81" s="90" t="str">
        <f t="shared" si="24"/>
        <v>▲ ELEVATED</v>
      </c>
      <c r="G81" s="61">
        <f t="shared" si="25"/>
        <v>6.3007192302235525E-6</v>
      </c>
      <c r="I81" s="61">
        <f t="shared" si="26"/>
        <v>1.3495862760745555E-4</v>
      </c>
      <c r="J81" s="61">
        <f t="shared" si="16"/>
        <v>1.1617169517892709</v>
      </c>
      <c r="K81" s="61">
        <f t="shared" si="17"/>
        <v>18.441684889694542</v>
      </c>
      <c r="L81" s="225">
        <f t="shared" si="27"/>
        <v>0.18441684889694543</v>
      </c>
      <c r="N81" s="95">
        <f t="shared" si="18"/>
        <v>1.91085434164159</v>
      </c>
      <c r="O81" s="95">
        <f t="shared" si="19"/>
        <v>2.7025577610321765</v>
      </c>
      <c r="P81" s="95">
        <f t="shared" si="20"/>
        <v>2.3962884351542186</v>
      </c>
      <c r="Q81" s="95">
        <f t="shared" si="21"/>
        <v>3.0962245399255477</v>
      </c>
      <c r="R81" s="96">
        <f t="shared" si="28"/>
        <v>0</v>
      </c>
      <c r="S81" s="96">
        <f t="shared" si="29"/>
        <v>0</v>
      </c>
      <c r="Z81" s="61">
        <f t="shared" si="22"/>
        <v>-1.91085434164159</v>
      </c>
      <c r="AA81" s="61">
        <f t="shared" si="23"/>
        <v>-2.7025577610321765</v>
      </c>
    </row>
    <row r="82" spans="2:27" ht="17" x14ac:dyDescent="0.2">
      <c r="B82" s="104" t="str">
        <f>'1.RETURNS'!A83</f>
        <v>21-Apr-2023</v>
      </c>
      <c r="C82" s="226">
        <f>'1.RETURNS'!D83</f>
        <v>1.2014854452613818E-3</v>
      </c>
      <c r="D82" s="127">
        <f t="shared" si="14"/>
        <v>1.1075795239628318E-2</v>
      </c>
      <c r="E82" s="128">
        <f t="shared" si="15"/>
        <v>0.17582279865797745</v>
      </c>
      <c r="F82" s="90" t="str">
        <f t="shared" si="24"/>
        <v>▲ ELEVATED</v>
      </c>
      <c r="G82" s="61">
        <f t="shared" si="25"/>
        <v>1.4435672751749409E-6</v>
      </c>
      <c r="I82" s="61">
        <f t="shared" si="26"/>
        <v>1.1834490538935957E-4</v>
      </c>
      <c r="J82" s="61">
        <f t="shared" si="16"/>
        <v>1.0878644464700535</v>
      </c>
      <c r="K82" s="61">
        <f t="shared" si="17"/>
        <v>17.269312713052198</v>
      </c>
      <c r="L82" s="225">
        <f t="shared" si="27"/>
        <v>0.17269312713052198</v>
      </c>
      <c r="N82" s="95">
        <f t="shared" si="18"/>
        <v>1.7893777804078226</v>
      </c>
      <c r="O82" s="95">
        <f t="shared" si="19"/>
        <v>2.5307511422902249</v>
      </c>
      <c r="P82" s="95">
        <f t="shared" si="20"/>
        <v>2.2439519265657588</v>
      </c>
      <c r="Q82" s="95">
        <f t="shared" si="21"/>
        <v>2.8993917925406052</v>
      </c>
      <c r="R82" s="96">
        <f t="shared" si="28"/>
        <v>0</v>
      </c>
      <c r="S82" s="96">
        <f t="shared" si="29"/>
        <v>0</v>
      </c>
      <c r="Z82" s="61">
        <f t="shared" si="22"/>
        <v>-1.7893777804078226</v>
      </c>
      <c r="AA82" s="61">
        <f t="shared" si="23"/>
        <v>-2.5307511422902249</v>
      </c>
    </row>
    <row r="83" spans="2:27" ht="17" x14ac:dyDescent="0.2">
      <c r="B83" s="99" t="str">
        <f>'1.RETURNS'!A84</f>
        <v>24-Apr-2023</v>
      </c>
      <c r="C83" s="226">
        <f>'1.RETURNS'!D84</f>
        <v>-1.8955832778474114E-2</v>
      </c>
      <c r="D83" s="125">
        <f t="shared" si="14"/>
        <v>1.1762471008046548E-2</v>
      </c>
      <c r="E83" s="126">
        <f t="shared" si="15"/>
        <v>0.18672343854539036</v>
      </c>
      <c r="F83" s="90" t="str">
        <f t="shared" si="24"/>
        <v>▲ ELEVATED</v>
      </c>
      <c r="G83" s="61">
        <f t="shared" si="25"/>
        <v>3.5932359632547364E-4</v>
      </c>
      <c r="I83" s="61">
        <f t="shared" si="26"/>
        <v>1.0373752630847312E-4</v>
      </c>
      <c r="J83" s="61">
        <f t="shared" si="16"/>
        <v>1.0185162065891398</v>
      </c>
      <c r="K83" s="61">
        <f t="shared" si="17"/>
        <v>16.168443533542501</v>
      </c>
      <c r="L83" s="225">
        <f t="shared" si="27"/>
        <v>0.16168443533542501</v>
      </c>
      <c r="N83" s="95">
        <f t="shared" si="18"/>
        <v>1.6753100765170008</v>
      </c>
      <c r="O83" s="95">
        <f t="shared" si="19"/>
        <v>2.3694230118747872</v>
      </c>
      <c r="P83" s="95">
        <f t="shared" si="20"/>
        <v>2.1009064239853004</v>
      </c>
      <c r="Q83" s="95">
        <f t="shared" si="21"/>
        <v>2.7145638774540419</v>
      </c>
      <c r="R83" s="96">
        <f t="shared" si="28"/>
        <v>1</v>
      </c>
      <c r="S83" s="96">
        <f t="shared" si="29"/>
        <v>0</v>
      </c>
      <c r="Z83" s="61">
        <f t="shared" si="22"/>
        <v>-1.6753100765170008</v>
      </c>
      <c r="AA83" s="61">
        <f t="shared" si="23"/>
        <v>-2.3694230118747872</v>
      </c>
    </row>
    <row r="84" spans="2:27" ht="17" x14ac:dyDescent="0.2">
      <c r="B84" s="104" t="str">
        <f>'1.RETURNS'!A85</f>
        <v>25-Apr-2023</v>
      </c>
      <c r="C84" s="226">
        <f>'1.RETURNS'!D85</f>
        <v>-2.4118481615718499E-3</v>
      </c>
      <c r="D84" s="127">
        <f t="shared" si="14"/>
        <v>1.1717868890635821E-2</v>
      </c>
      <c r="E84" s="128">
        <f t="shared" si="15"/>
        <v>0.18601540188169624</v>
      </c>
      <c r="F84" s="90" t="str">
        <f t="shared" si="24"/>
        <v>▲ ELEVATED</v>
      </c>
      <c r="G84" s="61">
        <f t="shared" si="25"/>
        <v>5.817011554477512E-6</v>
      </c>
      <c r="I84" s="61">
        <f t="shared" si="26"/>
        <v>1.2710925699474952E-4</v>
      </c>
      <c r="J84" s="61">
        <f t="shared" si="16"/>
        <v>1.1274274122742871</v>
      </c>
      <c r="K84" s="61">
        <f t="shared" si="17"/>
        <v>17.897355324929123</v>
      </c>
      <c r="L84" s="225">
        <f t="shared" si="27"/>
        <v>0.17897355324929123</v>
      </c>
      <c r="N84" s="95">
        <f t="shared" si="18"/>
        <v>1.8544530682038731</v>
      </c>
      <c r="O84" s="95">
        <f t="shared" si="19"/>
        <v>2.6227883636796543</v>
      </c>
      <c r="P84" s="95">
        <f t="shared" si="20"/>
        <v>2.3255589628331297</v>
      </c>
      <c r="Q84" s="95">
        <f t="shared" si="21"/>
        <v>3.0048355716011033</v>
      </c>
      <c r="R84" s="96">
        <f t="shared" si="28"/>
        <v>0</v>
      </c>
      <c r="S84" s="96">
        <f t="shared" si="29"/>
        <v>0</v>
      </c>
      <c r="Z84" s="61">
        <f t="shared" si="22"/>
        <v>-1.8544530682038731</v>
      </c>
      <c r="AA84" s="61">
        <f t="shared" si="23"/>
        <v>-2.6227883636796543</v>
      </c>
    </row>
    <row r="85" spans="2:27" ht="17" x14ac:dyDescent="0.2">
      <c r="B85" s="99" t="str">
        <f>'1.RETURNS'!A86</f>
        <v>26-Apr-2023</v>
      </c>
      <c r="C85" s="226">
        <f>'1.RETURNS'!D86</f>
        <v>3.7166431063246361E-3</v>
      </c>
      <c r="D85" s="125">
        <f t="shared" si="14"/>
        <v>1.1736986087110986E-2</v>
      </c>
      <c r="E85" s="126">
        <f t="shared" si="15"/>
        <v>0.18631887796752453</v>
      </c>
      <c r="F85" s="90" t="str">
        <f t="shared" si="24"/>
        <v>▲ ELEVATED</v>
      </c>
      <c r="G85" s="61">
        <f t="shared" si="25"/>
        <v>1.381343597979044E-5</v>
      </c>
      <c r="I85" s="61">
        <f t="shared" si="26"/>
        <v>1.1162456960098484E-4</v>
      </c>
      <c r="J85" s="61">
        <f t="shared" si="16"/>
        <v>1.0565252935968208</v>
      </c>
      <c r="K85" s="61">
        <f t="shared" si="17"/>
        <v>16.771819084240143</v>
      </c>
      <c r="L85" s="225">
        <f t="shared" si="27"/>
        <v>0.16771819084240142</v>
      </c>
      <c r="N85" s="95">
        <f t="shared" si="18"/>
        <v>1.7378294611386991</v>
      </c>
      <c r="O85" s="95">
        <f t="shared" si="19"/>
        <v>2.4578453706293391</v>
      </c>
      <c r="P85" s="95">
        <f t="shared" si="20"/>
        <v>2.179308254557708</v>
      </c>
      <c r="Q85" s="95">
        <f t="shared" si="21"/>
        <v>2.8158662366492742</v>
      </c>
      <c r="R85" s="96">
        <f t="shared" si="28"/>
        <v>0</v>
      </c>
      <c r="S85" s="96">
        <f t="shared" si="29"/>
        <v>0</v>
      </c>
      <c r="Z85" s="61">
        <f t="shared" si="22"/>
        <v>-1.7378294611386991</v>
      </c>
      <c r="AA85" s="61">
        <f t="shared" si="23"/>
        <v>-2.4578453706293391</v>
      </c>
    </row>
    <row r="86" spans="2:27" ht="17" x14ac:dyDescent="0.2">
      <c r="B86" s="104" t="str">
        <f>'1.RETURNS'!A87</f>
        <v>27-Apr-2023</v>
      </c>
      <c r="C86" s="226">
        <f>'1.RETURNS'!D87</f>
        <v>1.5530909074699869E-2</v>
      </c>
      <c r="D86" s="127">
        <f t="shared" si="14"/>
        <v>1.1893896606599888E-2</v>
      </c>
      <c r="E86" s="128">
        <f t="shared" si="15"/>
        <v>0.18880975524347005</v>
      </c>
      <c r="F86" s="90" t="str">
        <f t="shared" si="24"/>
        <v>▲ ELEVATED</v>
      </c>
      <c r="G86" s="61">
        <f t="shared" si="25"/>
        <v>2.4120913668659473E-4</v>
      </c>
      <c r="I86" s="61">
        <f t="shared" si="26"/>
        <v>9.926222775881616E-5</v>
      </c>
      <c r="J86" s="61">
        <f t="shared" si="16"/>
        <v>0.99630430973079787</v>
      </c>
      <c r="K86" s="61">
        <f t="shared" si="17"/>
        <v>15.815840602137364</v>
      </c>
      <c r="L86" s="225">
        <f t="shared" si="27"/>
        <v>0.15815840602137363</v>
      </c>
      <c r="N86" s="95">
        <f t="shared" si="18"/>
        <v>1.6387747574080851</v>
      </c>
      <c r="O86" s="95">
        <f t="shared" si="19"/>
        <v>2.3177504128399691</v>
      </c>
      <c r="P86" s="95">
        <f t="shared" si="20"/>
        <v>2.0550896598565647</v>
      </c>
      <c r="Q86" s="95">
        <f t="shared" si="21"/>
        <v>2.6553644140863346</v>
      </c>
      <c r="R86" s="96">
        <f t="shared" si="28"/>
        <v>0</v>
      </c>
      <c r="S86" s="96">
        <f t="shared" si="29"/>
        <v>0</v>
      </c>
      <c r="Z86" s="61">
        <f t="shared" si="22"/>
        <v>-1.6387747574080851</v>
      </c>
      <c r="AA86" s="61">
        <f t="shared" si="23"/>
        <v>-2.3177504128399691</v>
      </c>
    </row>
    <row r="87" spans="2:27" ht="17" x14ac:dyDescent="0.2">
      <c r="B87" s="99" t="str">
        <f>'1.RETURNS'!A88</f>
        <v>28-Apr-2023</v>
      </c>
      <c r="C87" s="226">
        <f>'1.RETURNS'!D88</f>
        <v>-5.5963470604531978E-3</v>
      </c>
      <c r="D87" s="125">
        <f t="shared" ref="D87:D150" si="30">STDEV(C68:C87)</f>
        <v>1.1559471897286105E-2</v>
      </c>
      <c r="E87" s="126">
        <f t="shared" ref="E87:E150" si="31">D87*SQRT(252)</f>
        <v>0.18350092756475403</v>
      </c>
      <c r="F87" s="90" t="str">
        <f t="shared" si="24"/>
        <v>▲ ELEVATED</v>
      </c>
      <c r="G87" s="61">
        <f t="shared" si="25"/>
        <v>3.1319100421043147E-5</v>
      </c>
      <c r="I87" s="61">
        <f t="shared" si="26"/>
        <v>1.1149380726365321E-4</v>
      </c>
      <c r="J87" s="61">
        <f t="shared" si="16"/>
        <v>1.0559062802334931</v>
      </c>
      <c r="K87" s="61">
        <f t="shared" si="17"/>
        <v>16.761992551734597</v>
      </c>
      <c r="L87" s="225">
        <f t="shared" si="27"/>
        <v>0.16761992551734597</v>
      </c>
      <c r="N87" s="95">
        <f t="shared" si="18"/>
        <v>1.7368112747628981</v>
      </c>
      <c r="O87" s="95">
        <f t="shared" si="19"/>
        <v>2.4564053302075588</v>
      </c>
      <c r="P87" s="95">
        <f t="shared" si="20"/>
        <v>2.1780314077651539</v>
      </c>
      <c r="Q87" s="95">
        <f t="shared" si="21"/>
        <v>2.8142164334307491</v>
      </c>
      <c r="R87" s="96">
        <f t="shared" si="28"/>
        <v>0</v>
      </c>
      <c r="S87" s="96">
        <f t="shared" si="29"/>
        <v>0</v>
      </c>
      <c r="Z87" s="61">
        <f t="shared" si="22"/>
        <v>-1.7368112747628981</v>
      </c>
      <c r="AA87" s="61">
        <f t="shared" si="23"/>
        <v>-2.4564053302075588</v>
      </c>
    </row>
    <row r="88" spans="2:27" ht="17" x14ac:dyDescent="0.2">
      <c r="B88" s="104" t="str">
        <f>'1.RETURNS'!A89</f>
        <v>01-May-2023</v>
      </c>
      <c r="C88" s="226">
        <f>'1.RETURNS'!D89</f>
        <v>-7.6156549220539856E-3</v>
      </c>
      <c r="D88" s="127">
        <f t="shared" si="30"/>
        <v>1.1629970419922179E-2</v>
      </c>
      <c r="E88" s="128">
        <f t="shared" si="31"/>
        <v>0.18462005691690908</v>
      </c>
      <c r="F88" s="90" t="str">
        <f t="shared" si="24"/>
        <v>▲ ELEVATED</v>
      </c>
      <c r="G88" s="61">
        <f t="shared" si="25"/>
        <v>5.7998199891805097E-5</v>
      </c>
      <c r="I88" s="61">
        <f t="shared" si="26"/>
        <v>1.0090164621620953E-4</v>
      </c>
      <c r="J88" s="61">
        <f t="shared" si="16"/>
        <v>1.0044981145637333</v>
      </c>
      <c r="K88" s="61">
        <f t="shared" si="17"/>
        <v>15.945913221413441</v>
      </c>
      <c r="L88" s="225">
        <f t="shared" si="27"/>
        <v>0.15945913221413441</v>
      </c>
      <c r="N88" s="95">
        <f t="shared" si="18"/>
        <v>1.6522523670060714</v>
      </c>
      <c r="O88" s="95">
        <f t="shared" si="19"/>
        <v>2.3368120532933738</v>
      </c>
      <c r="P88" s="95">
        <f t="shared" si="20"/>
        <v>2.0719911260276769</v>
      </c>
      <c r="Q88" s="95">
        <f t="shared" si="21"/>
        <v>2.6772026592458125</v>
      </c>
      <c r="R88" s="96">
        <f t="shared" si="28"/>
        <v>0</v>
      </c>
      <c r="S88" s="96">
        <f t="shared" si="29"/>
        <v>0</v>
      </c>
      <c r="Z88" s="61">
        <f t="shared" si="22"/>
        <v>-1.6522523670060714</v>
      </c>
      <c r="AA88" s="61">
        <f t="shared" si="23"/>
        <v>-2.3368120532933738</v>
      </c>
    </row>
    <row r="89" spans="2:27" ht="17" x14ac:dyDescent="0.2">
      <c r="B89" s="99" t="str">
        <f>'1.RETURNS'!A90</f>
        <v>02-May-2023</v>
      </c>
      <c r="C89" s="226">
        <f>'1.RETURNS'!D90</f>
        <v>-5.1642019311587337E-3</v>
      </c>
      <c r="D89" s="125">
        <f t="shared" si="30"/>
        <v>1.1241879615951404E-2</v>
      </c>
      <c r="E89" s="126">
        <f t="shared" si="31"/>
        <v>0.17845930639640234</v>
      </c>
      <c r="F89" s="90" t="str">
        <f t="shared" si="24"/>
        <v>▲ ELEVATED</v>
      </c>
      <c r="G89" s="61">
        <f t="shared" si="25"/>
        <v>2.6668981585783595E-5</v>
      </c>
      <c r="I89" s="61">
        <f t="shared" si="26"/>
        <v>9.4566219272958612E-5</v>
      </c>
      <c r="J89" s="61">
        <f t="shared" si="16"/>
        <v>0.97245164030381803</v>
      </c>
      <c r="K89" s="61">
        <f t="shared" si="17"/>
        <v>15.43719121368443</v>
      </c>
      <c r="L89" s="225">
        <f t="shared" si="27"/>
        <v>0.15437191213684431</v>
      </c>
      <c r="N89" s="95">
        <f t="shared" si="18"/>
        <v>1.5995406075886429</v>
      </c>
      <c r="O89" s="95">
        <f t="shared" si="19"/>
        <v>2.2622608060283156</v>
      </c>
      <c r="P89" s="95">
        <f t="shared" si="20"/>
        <v>2.0058884531362922</v>
      </c>
      <c r="Q89" s="95">
        <f t="shared" si="21"/>
        <v>2.5917919403363405</v>
      </c>
      <c r="R89" s="96">
        <f t="shared" si="28"/>
        <v>0</v>
      </c>
      <c r="S89" s="96">
        <f t="shared" si="29"/>
        <v>0</v>
      </c>
      <c r="Z89" s="61">
        <f t="shared" si="22"/>
        <v>-1.5995406075886429</v>
      </c>
      <c r="AA89" s="61">
        <f t="shared" si="23"/>
        <v>-2.2622608060283156</v>
      </c>
    </row>
    <row r="90" spans="2:27" ht="17" x14ac:dyDescent="0.2">
      <c r="B90" s="104" t="str">
        <f>'1.RETURNS'!A91</f>
        <v>03-May-2023</v>
      </c>
      <c r="C90" s="226">
        <f>'1.RETURNS'!D91</f>
        <v>9.2171641973083675E-3</v>
      </c>
      <c r="D90" s="127">
        <f t="shared" si="30"/>
        <v>1.141836165126466E-2</v>
      </c>
      <c r="E90" s="128">
        <f t="shared" si="31"/>
        <v>0.18126087185425871</v>
      </c>
      <c r="F90" s="90" t="str">
        <f t="shared" si="24"/>
        <v>▲ ELEVATED</v>
      </c>
      <c r="G90" s="61">
        <f t="shared" si="25"/>
        <v>8.4956115840143201E-5</v>
      </c>
      <c r="I90" s="61">
        <f t="shared" si="26"/>
        <v>8.6048184540593175E-5</v>
      </c>
      <c r="J90" s="61">
        <f t="shared" si="16"/>
        <v>0.92762160680200401</v>
      </c>
      <c r="K90" s="61">
        <f t="shared" si="17"/>
        <v>14.725536494209466</v>
      </c>
      <c r="L90" s="225">
        <f t="shared" si="27"/>
        <v>0.14725536494209465</v>
      </c>
      <c r="N90" s="95">
        <f t="shared" si="18"/>
        <v>1.525801764386828</v>
      </c>
      <c r="O90" s="95">
        <f t="shared" si="19"/>
        <v>2.1579705528981905</v>
      </c>
      <c r="P90" s="95">
        <f t="shared" si="20"/>
        <v>1.9134169688711136</v>
      </c>
      <c r="Q90" s="95">
        <f t="shared" si="21"/>
        <v>2.4723102975487268</v>
      </c>
      <c r="R90" s="96">
        <f t="shared" si="28"/>
        <v>0</v>
      </c>
      <c r="S90" s="96">
        <f t="shared" si="29"/>
        <v>0</v>
      </c>
      <c r="Z90" s="61">
        <f t="shared" si="22"/>
        <v>-1.525801764386828</v>
      </c>
      <c r="AA90" s="61">
        <f t="shared" si="23"/>
        <v>-2.1579705528981905</v>
      </c>
    </row>
    <row r="91" spans="2:27" ht="17" x14ac:dyDescent="0.2">
      <c r="B91" s="99" t="str">
        <f>'1.RETURNS'!A92</f>
        <v>04-May-2023</v>
      </c>
      <c r="C91" s="226">
        <f>'1.RETURNS'!D92</f>
        <v>3.7032218796640938E-3</v>
      </c>
      <c r="D91" s="125">
        <f t="shared" si="30"/>
        <v>1.1217538120839742E-2</v>
      </c>
      <c r="E91" s="126">
        <f t="shared" si="31"/>
        <v>0.17807289714077262</v>
      </c>
      <c r="F91" s="90" t="str">
        <f t="shared" si="24"/>
        <v>▲ ELEVATED</v>
      </c>
      <c r="G91" s="61">
        <f t="shared" si="25"/>
        <v>1.3713852290022864E-5</v>
      </c>
      <c r="I91" s="61">
        <f t="shared" si="26"/>
        <v>8.4636568443518514E-5</v>
      </c>
      <c r="J91" s="61">
        <f t="shared" si="16"/>
        <v>0.91998135004748072</v>
      </c>
      <c r="K91" s="61">
        <f t="shared" si="17"/>
        <v>14.604251178258565</v>
      </c>
      <c r="L91" s="225">
        <f t="shared" si="27"/>
        <v>0.14604251178258565</v>
      </c>
      <c r="N91" s="95">
        <f t="shared" si="18"/>
        <v>1.51323466035331</v>
      </c>
      <c r="O91" s="95">
        <f t="shared" si="19"/>
        <v>2.1401966578401792</v>
      </c>
      <c r="P91" s="95">
        <f t="shared" si="20"/>
        <v>1.8976573134109131</v>
      </c>
      <c r="Q91" s="95">
        <f t="shared" si="21"/>
        <v>2.4519473765994784</v>
      </c>
      <c r="R91" s="96">
        <f t="shared" si="28"/>
        <v>0</v>
      </c>
      <c r="S91" s="96">
        <f t="shared" si="29"/>
        <v>0</v>
      </c>
      <c r="Z91" s="61">
        <f t="shared" si="22"/>
        <v>-1.51323466035331</v>
      </c>
      <c r="AA91" s="61">
        <f t="shared" si="23"/>
        <v>-2.1401966578401792</v>
      </c>
    </row>
    <row r="92" spans="2:27" ht="17" x14ac:dyDescent="0.2">
      <c r="B92" s="104" t="str">
        <f>'1.RETURNS'!A93</f>
        <v>05-May-2023</v>
      </c>
      <c r="C92" s="226">
        <f>'1.RETURNS'!D93</f>
        <v>-5.2343263201731025E-3</v>
      </c>
      <c r="D92" s="127">
        <f t="shared" si="30"/>
        <v>1.124711435835072E-2</v>
      </c>
      <c r="E92" s="128">
        <f t="shared" si="31"/>
        <v>0.17854240535579879</v>
      </c>
      <c r="F92" s="90" t="str">
        <f t="shared" si="24"/>
        <v>▲ ELEVATED</v>
      </c>
      <c r="G92" s="61">
        <f t="shared" si="25"/>
        <v>2.7398172026056893E-5</v>
      </c>
      <c r="I92" s="61">
        <f t="shared" si="26"/>
        <v>7.6312468405993026E-5</v>
      </c>
      <c r="J92" s="61">
        <f t="shared" si="16"/>
        <v>0.87357007965012756</v>
      </c>
      <c r="K92" s="61">
        <f t="shared" si="17"/>
        <v>13.867495101246744</v>
      </c>
      <c r="L92" s="225">
        <f t="shared" si="27"/>
        <v>0.13867495101246743</v>
      </c>
      <c r="N92" s="95">
        <f t="shared" si="18"/>
        <v>1.4368949139087981</v>
      </c>
      <c r="O92" s="95">
        <f t="shared" si="19"/>
        <v>2.0322278976197623</v>
      </c>
      <c r="P92" s="95">
        <f t="shared" si="20"/>
        <v>1.8019241915496025</v>
      </c>
      <c r="Q92" s="95">
        <f t="shared" si="21"/>
        <v>2.3282513987521383</v>
      </c>
      <c r="R92" s="96">
        <f t="shared" si="28"/>
        <v>0</v>
      </c>
      <c r="S92" s="96">
        <f t="shared" si="29"/>
        <v>0</v>
      </c>
      <c r="Z92" s="61">
        <f t="shared" si="22"/>
        <v>-1.4368949139087981</v>
      </c>
      <c r="AA92" s="61">
        <f t="shared" si="23"/>
        <v>-2.0322278976197623</v>
      </c>
    </row>
    <row r="93" spans="2:27" ht="17" x14ac:dyDescent="0.2">
      <c r="B93" s="99" t="str">
        <f>'1.RETURNS'!A94</f>
        <v>08-May-2023</v>
      </c>
      <c r="C93" s="226">
        <f>'1.RETURNS'!D94</f>
        <v>5.6819826799638026E-3</v>
      </c>
      <c r="D93" s="125">
        <f t="shared" si="30"/>
        <v>1.1225046017145112E-2</v>
      </c>
      <c r="E93" s="126">
        <f t="shared" si="31"/>
        <v>0.17819208129973227</v>
      </c>
      <c r="F93" s="90" t="str">
        <f t="shared" si="24"/>
        <v>▲ ELEVATED</v>
      </c>
      <c r="G93" s="61">
        <f t="shared" si="25"/>
        <v>3.2284927175408638E-5</v>
      </c>
      <c r="I93" s="61">
        <f t="shared" si="26"/>
        <v>7.0605415347699762E-5</v>
      </c>
      <c r="J93" s="61">
        <f t="shared" si="16"/>
        <v>0.84027028596577047</v>
      </c>
      <c r="K93" s="61">
        <f t="shared" si="17"/>
        <v>13.338877264455334</v>
      </c>
      <c r="L93" s="225">
        <f t="shared" si="27"/>
        <v>0.13338877264455334</v>
      </c>
      <c r="N93" s="95">
        <f t="shared" si="18"/>
        <v>1.3821216274903476</v>
      </c>
      <c r="O93" s="95">
        <f t="shared" si="19"/>
        <v>1.9547609933761594</v>
      </c>
      <c r="P93" s="95">
        <f t="shared" si="20"/>
        <v>1.7332362806295241</v>
      </c>
      <c r="Q93" s="95">
        <f t="shared" si="21"/>
        <v>2.2395003150900084</v>
      </c>
      <c r="R93" s="96">
        <f t="shared" si="28"/>
        <v>0</v>
      </c>
      <c r="S93" s="96">
        <f t="shared" si="29"/>
        <v>0</v>
      </c>
      <c r="Z93" s="61">
        <f t="shared" si="22"/>
        <v>-1.3821216274903476</v>
      </c>
      <c r="AA93" s="61">
        <f t="shared" si="23"/>
        <v>-1.9547609933761594</v>
      </c>
    </row>
    <row r="94" spans="2:27" ht="17" x14ac:dyDescent="0.2">
      <c r="B94" s="104" t="str">
        <f>'1.RETURNS'!A95</f>
        <v>09-May-2023</v>
      </c>
      <c r="C94" s="226">
        <f>'1.RETURNS'!D95</f>
        <v>1.2609322099685217E-3</v>
      </c>
      <c r="D94" s="127">
        <f t="shared" si="30"/>
        <v>1.1195401656308369E-2</v>
      </c>
      <c r="E94" s="128">
        <f t="shared" si="31"/>
        <v>0.17772149166043535</v>
      </c>
      <c r="F94" s="90" t="str">
        <f t="shared" si="24"/>
        <v>▲ ELEVATED</v>
      </c>
      <c r="G94" s="61">
        <f t="shared" si="25"/>
        <v>1.5899500381361E-6</v>
      </c>
      <c r="I94" s="61">
        <f t="shared" si="26"/>
        <v>6.6243095763085662E-5</v>
      </c>
      <c r="J94" s="61">
        <f t="shared" si="16"/>
        <v>0.81389861630970761</v>
      </c>
      <c r="K94" s="61">
        <f t="shared" si="17"/>
        <v>12.92023998705039</v>
      </c>
      <c r="L94" s="225">
        <f t="shared" si="27"/>
        <v>0.12920239987050391</v>
      </c>
      <c r="N94" s="95">
        <f t="shared" si="18"/>
        <v>1.3387440910078066</v>
      </c>
      <c r="O94" s="95">
        <f t="shared" si="19"/>
        <v>1.8934113157368702</v>
      </c>
      <c r="P94" s="95">
        <f t="shared" si="20"/>
        <v>1.6788390998746081</v>
      </c>
      <c r="Q94" s="95">
        <f t="shared" si="21"/>
        <v>2.1692141661084077</v>
      </c>
      <c r="R94" s="96">
        <f t="shared" si="28"/>
        <v>0</v>
      </c>
      <c r="S94" s="96">
        <f t="shared" si="29"/>
        <v>0</v>
      </c>
      <c r="Z94" s="61">
        <f t="shared" si="22"/>
        <v>-1.3387440910078066</v>
      </c>
      <c r="AA94" s="61">
        <f t="shared" si="23"/>
        <v>-1.8934113157368702</v>
      </c>
    </row>
    <row r="95" spans="2:27" ht="17" x14ac:dyDescent="0.2">
      <c r="B95" s="99" t="str">
        <f>'1.RETURNS'!A96</f>
        <v>10-May-2023</v>
      </c>
      <c r="C95" s="226">
        <f>'1.RETURNS'!D96</f>
        <v>9.7575368809928315E-3</v>
      </c>
      <c r="D95" s="125">
        <f t="shared" si="30"/>
        <v>1.0858510807829395E-2</v>
      </c>
      <c r="E95" s="126">
        <f t="shared" si="31"/>
        <v>0.17237351523614192</v>
      </c>
      <c r="F95" s="90" t="str">
        <f t="shared" si="24"/>
        <v>▲ ELEVATED</v>
      </c>
      <c r="G95" s="61">
        <f t="shared" si="25"/>
        <v>9.520952598393531E-5</v>
      </c>
      <c r="I95" s="61">
        <f t="shared" si="26"/>
        <v>5.9465626402436419E-5</v>
      </c>
      <c r="J95" s="61">
        <f t="shared" si="16"/>
        <v>0.77113958789856207</v>
      </c>
      <c r="K95" s="61">
        <f t="shared" si="17"/>
        <v>12.241461454178573</v>
      </c>
      <c r="L95" s="225">
        <f t="shared" si="27"/>
        <v>0.12241461454178573</v>
      </c>
      <c r="N95" s="95">
        <f t="shared" si="18"/>
        <v>1.2684117480408128</v>
      </c>
      <c r="O95" s="95">
        <f t="shared" si="19"/>
        <v>1.79393894089655</v>
      </c>
      <c r="P95" s="95">
        <f t="shared" si="20"/>
        <v>1.5906395043343644</v>
      </c>
      <c r="Q95" s="95">
        <f t="shared" si="21"/>
        <v>2.0552521955388521</v>
      </c>
      <c r="R95" s="96">
        <f t="shared" si="28"/>
        <v>0</v>
      </c>
      <c r="S95" s="96">
        <f t="shared" si="29"/>
        <v>0</v>
      </c>
      <c r="Z95" s="61">
        <f t="shared" si="22"/>
        <v>-1.2684117480408128</v>
      </c>
      <c r="AA95" s="61">
        <f t="shared" si="23"/>
        <v>-1.79393894089655</v>
      </c>
    </row>
    <row r="96" spans="2:27" ht="17" x14ac:dyDescent="0.2">
      <c r="B96" s="104" t="str">
        <f>'1.RETURNS'!A97</f>
        <v>11-May-2023</v>
      </c>
      <c r="C96" s="226">
        <f>'1.RETURNS'!D97</f>
        <v>-7.2143446011480343E-3</v>
      </c>
      <c r="D96" s="127">
        <f t="shared" si="30"/>
        <v>1.0979636551921457E-2</v>
      </c>
      <c r="E96" s="128">
        <f t="shared" si="31"/>
        <v>0.17429632681355339</v>
      </c>
      <c r="F96" s="90" t="str">
        <f t="shared" si="24"/>
        <v>▲ ELEVATED</v>
      </c>
      <c r="G96" s="61">
        <f t="shared" si="25"/>
        <v>5.2046768024113792E-5</v>
      </c>
      <c r="I96" s="61">
        <f t="shared" si="26"/>
        <v>6.3066735040464485E-5</v>
      </c>
      <c r="J96" s="61">
        <f t="shared" si="16"/>
        <v>0.79414567328963315</v>
      </c>
      <c r="K96" s="61">
        <f t="shared" si="17"/>
        <v>12.606671737693913</v>
      </c>
      <c r="L96" s="225">
        <f t="shared" si="27"/>
        <v>0.12606671737693914</v>
      </c>
      <c r="N96" s="95">
        <f t="shared" si="18"/>
        <v>1.3062533910382714</v>
      </c>
      <c r="O96" s="95">
        <f t="shared" si="19"/>
        <v>1.8474590987360702</v>
      </c>
      <c r="P96" s="95">
        <f t="shared" si="20"/>
        <v>1.6380944513211362</v>
      </c>
      <c r="Q96" s="95">
        <f t="shared" si="21"/>
        <v>2.1165683414776244</v>
      </c>
      <c r="R96" s="96">
        <f t="shared" si="28"/>
        <v>0</v>
      </c>
      <c r="S96" s="96">
        <f t="shared" si="29"/>
        <v>0</v>
      </c>
      <c r="Z96" s="61">
        <f t="shared" si="22"/>
        <v>-1.3062533910382714</v>
      </c>
      <c r="AA96" s="61">
        <f t="shared" si="23"/>
        <v>-1.8474590987360702</v>
      </c>
    </row>
    <row r="97" spans="2:27" ht="17" x14ac:dyDescent="0.2">
      <c r="B97" s="99" t="str">
        <f>'1.RETURNS'!A98</f>
        <v>12-May-2023</v>
      </c>
      <c r="C97" s="226">
        <f>'1.RETURNS'!D98</f>
        <v>-3.0782994864755513E-3</v>
      </c>
      <c r="D97" s="125">
        <f t="shared" si="30"/>
        <v>1.0321474868191606E-2</v>
      </c>
      <c r="E97" s="126">
        <f t="shared" si="31"/>
        <v>0.163848333987829</v>
      </c>
      <c r="F97" s="90" t="str">
        <f t="shared" si="24"/>
        <v/>
      </c>
      <c r="G97" s="61">
        <f t="shared" si="25"/>
        <v>9.4759277284356434E-6</v>
      </c>
      <c r="I97" s="61">
        <f t="shared" si="26"/>
        <v>6.1811401586806189E-5</v>
      </c>
      <c r="J97" s="61">
        <f t="shared" si="16"/>
        <v>0.78620227414327792</v>
      </c>
      <c r="K97" s="61">
        <f t="shared" si="17"/>
        <v>12.480574185459242</v>
      </c>
      <c r="L97" s="225">
        <f t="shared" si="27"/>
        <v>0.12480574185459242</v>
      </c>
      <c r="N97" s="95">
        <f t="shared" si="18"/>
        <v>1.2931876621420657</v>
      </c>
      <c r="O97" s="95">
        <f t="shared" si="19"/>
        <v>1.8289799890192888</v>
      </c>
      <c r="P97" s="95">
        <f t="shared" si="20"/>
        <v>1.6217095001668056</v>
      </c>
      <c r="Q97" s="95">
        <f t="shared" si="21"/>
        <v>2.0953974811148761</v>
      </c>
      <c r="R97" s="96">
        <f t="shared" si="28"/>
        <v>0</v>
      </c>
      <c r="S97" s="96">
        <f t="shared" si="29"/>
        <v>0</v>
      </c>
      <c r="Z97" s="61">
        <f t="shared" si="22"/>
        <v>-1.2931876621420657</v>
      </c>
      <c r="AA97" s="61">
        <f t="shared" si="23"/>
        <v>-1.8289799890192888</v>
      </c>
    </row>
    <row r="98" spans="2:27" ht="17" x14ac:dyDescent="0.2">
      <c r="B98" s="104" t="str">
        <f>'1.RETURNS'!A99</f>
        <v>15-May-2023</v>
      </c>
      <c r="C98" s="226">
        <f>'1.RETURNS'!D99</f>
        <v>-3.5484565478974043E-3</v>
      </c>
      <c r="D98" s="127">
        <f t="shared" si="30"/>
        <v>7.9437025153382083E-3</v>
      </c>
      <c r="E98" s="128">
        <f t="shared" si="31"/>
        <v>0.12610236806797892</v>
      </c>
      <c r="F98" s="90" t="str">
        <f t="shared" si="24"/>
        <v/>
      </c>
      <c r="G98" s="61">
        <f t="shared" si="25"/>
        <v>1.2591543872315963E-5</v>
      </c>
      <c r="I98" s="61">
        <f t="shared" si="26"/>
        <v>5.6487284121628829E-5</v>
      </c>
      <c r="J98" s="61">
        <f t="shared" si="16"/>
        <v>0.7515802293942333</v>
      </c>
      <c r="K98" s="61">
        <f t="shared" si="17"/>
        <v>11.930966263740112</v>
      </c>
      <c r="L98" s="225">
        <f t="shared" si="27"/>
        <v>0.11930966263740111</v>
      </c>
      <c r="N98" s="95">
        <f t="shared" si="18"/>
        <v>1.2362394662641236</v>
      </c>
      <c r="O98" s="95">
        <f t="shared" si="19"/>
        <v>1.748437068822402</v>
      </c>
      <c r="P98" s="95">
        <f t="shared" si="20"/>
        <v>1.5502941650408559</v>
      </c>
      <c r="Q98" s="95">
        <f t="shared" si="21"/>
        <v>2.0031223151122735</v>
      </c>
      <c r="R98" s="96">
        <f t="shared" si="28"/>
        <v>0</v>
      </c>
      <c r="S98" s="96">
        <f t="shared" si="29"/>
        <v>0</v>
      </c>
      <c r="Z98" s="61">
        <f t="shared" si="22"/>
        <v>-1.2362394662641236</v>
      </c>
      <c r="AA98" s="61">
        <f t="shared" si="23"/>
        <v>-1.748437068822402</v>
      </c>
    </row>
    <row r="99" spans="2:27" ht="17" x14ac:dyDescent="0.2">
      <c r="B99" s="99" t="str">
        <f>'1.RETURNS'!A100</f>
        <v>16-May-2023</v>
      </c>
      <c r="C99" s="226">
        <f>'1.RETURNS'!D100</f>
        <v>-1.4524548662615353E-2</v>
      </c>
      <c r="D99" s="125">
        <f t="shared" si="30"/>
        <v>8.1287257887492012E-3</v>
      </c>
      <c r="E99" s="126">
        <f t="shared" si="31"/>
        <v>0.12903952147720649</v>
      </c>
      <c r="F99" s="90" t="str">
        <f t="shared" si="24"/>
        <v/>
      </c>
      <c r="G99" s="61">
        <f t="shared" si="25"/>
        <v>2.1096251385268144E-4</v>
      </c>
      <c r="I99" s="61">
        <f t="shared" si="26"/>
        <v>5.2273345890616102E-5</v>
      </c>
      <c r="J99" s="61">
        <f t="shared" si="16"/>
        <v>0.72300308360764343</v>
      </c>
      <c r="K99" s="61">
        <f t="shared" si="17"/>
        <v>11.477318138151986</v>
      </c>
      <c r="L99" s="225">
        <f t="shared" si="27"/>
        <v>0.11477318138151986</v>
      </c>
      <c r="N99" s="95">
        <f t="shared" si="18"/>
        <v>1.1892342443691304</v>
      </c>
      <c r="O99" s="95">
        <f t="shared" si="19"/>
        <v>1.6819566864756135</v>
      </c>
      <c r="P99" s="95">
        <f t="shared" si="20"/>
        <v>1.4913477204248502</v>
      </c>
      <c r="Q99" s="95">
        <f t="shared" si="21"/>
        <v>1.9269580997849589</v>
      </c>
      <c r="R99" s="96">
        <f t="shared" si="28"/>
        <v>1</v>
      </c>
      <c r="S99" s="96">
        <f t="shared" si="29"/>
        <v>0</v>
      </c>
      <c r="Z99" s="61">
        <f t="shared" si="22"/>
        <v>-1.1892342443691304</v>
      </c>
      <c r="AA99" s="61">
        <f t="shared" si="23"/>
        <v>-1.6819566864756135</v>
      </c>
    </row>
    <row r="100" spans="2:27" ht="17" x14ac:dyDescent="0.2">
      <c r="B100" s="104" t="str">
        <f>'1.RETURNS'!A101</f>
        <v>17-May-2023</v>
      </c>
      <c r="C100" s="226">
        <f>'1.RETURNS'!D101</f>
        <v>3.6557896181593878E-3</v>
      </c>
      <c r="D100" s="127">
        <f t="shared" si="30"/>
        <v>8.1853679434535538E-3</v>
      </c>
      <c r="E100" s="128">
        <f t="shared" si="31"/>
        <v>0.12993868780762988</v>
      </c>
      <c r="F100" s="90" t="str">
        <f t="shared" si="24"/>
        <v/>
      </c>
      <c r="G100" s="61">
        <f t="shared" si="25"/>
        <v>1.3364797732241963E-5</v>
      </c>
      <c r="I100" s="61">
        <f t="shared" si="26"/>
        <v>6.852859539229183E-5</v>
      </c>
      <c r="J100" s="61">
        <f t="shared" si="16"/>
        <v>0.82782000091983654</v>
      </c>
      <c r="K100" s="61">
        <f t="shared" si="17"/>
        <v>13.14123511655489</v>
      </c>
      <c r="L100" s="225">
        <f t="shared" si="27"/>
        <v>0.13141235116554889</v>
      </c>
      <c r="N100" s="95">
        <f t="shared" si="18"/>
        <v>1.3616427309759636</v>
      </c>
      <c r="O100" s="95">
        <f t="shared" si="19"/>
        <v>1.9257972992283485</v>
      </c>
      <c r="P100" s="95">
        <f t="shared" si="20"/>
        <v>1.707554918208158</v>
      </c>
      <c r="Q100" s="95">
        <f t="shared" si="21"/>
        <v>2.2063176383382266</v>
      </c>
      <c r="R100" s="96">
        <f t="shared" si="28"/>
        <v>0</v>
      </c>
      <c r="S100" s="96">
        <f t="shared" si="29"/>
        <v>0</v>
      </c>
      <c r="Z100" s="61">
        <f t="shared" si="22"/>
        <v>-1.3616427309759636</v>
      </c>
      <c r="AA100" s="61">
        <f t="shared" si="23"/>
        <v>-1.9257972992283485</v>
      </c>
    </row>
    <row r="101" spans="2:27" ht="17" x14ac:dyDescent="0.2">
      <c r="B101" s="99" t="str">
        <f>'1.RETURNS'!A102</f>
        <v>18-May-2023</v>
      </c>
      <c r="C101" s="226">
        <f>'1.RETURNS'!D102</f>
        <v>2.9352530738064706E-3</v>
      </c>
      <c r="D101" s="125">
        <f t="shared" si="30"/>
        <v>8.2266793412520203E-3</v>
      </c>
      <c r="E101" s="126">
        <f t="shared" si="31"/>
        <v>0.13059448591695311</v>
      </c>
      <c r="F101" s="90" t="str">
        <f t="shared" si="24"/>
        <v/>
      </c>
      <c r="G101" s="61">
        <f t="shared" si="25"/>
        <v>8.6157106072903345E-6</v>
      </c>
      <c r="I101" s="61">
        <f t="shared" si="26"/>
        <v>6.2585785856672255E-5</v>
      </c>
      <c r="J101" s="61">
        <f t="shared" si="16"/>
        <v>0.7911117863909769</v>
      </c>
      <c r="K101" s="61">
        <f t="shared" si="17"/>
        <v>12.558510276255465</v>
      </c>
      <c r="L101" s="225">
        <f t="shared" si="27"/>
        <v>0.12558510276255463</v>
      </c>
      <c r="N101" s="95">
        <f t="shared" si="18"/>
        <v>1.3012630911692562</v>
      </c>
      <c r="O101" s="95">
        <f t="shared" si="19"/>
        <v>1.8404012223993009</v>
      </c>
      <c r="P101" s="95">
        <f t="shared" si="20"/>
        <v>1.6318364139587489</v>
      </c>
      <c r="Q101" s="95">
        <f t="shared" si="21"/>
        <v>2.1084823829724053</v>
      </c>
      <c r="R101" s="96">
        <f t="shared" si="28"/>
        <v>0</v>
      </c>
      <c r="S101" s="96">
        <f t="shared" si="29"/>
        <v>0</v>
      </c>
      <c r="Z101" s="61">
        <f t="shared" si="22"/>
        <v>-1.3012630911692562</v>
      </c>
      <c r="AA101" s="61">
        <f t="shared" si="23"/>
        <v>-1.8404012223993009</v>
      </c>
    </row>
    <row r="102" spans="2:27" ht="17" x14ac:dyDescent="0.2">
      <c r="B102" s="104" t="str">
        <f>'1.RETURNS'!A103</f>
        <v>19-May-2023</v>
      </c>
      <c r="C102" s="226">
        <f>'1.RETURNS'!D103</f>
        <v>3.1758940288275392E-4</v>
      </c>
      <c r="D102" s="127">
        <f t="shared" si="30"/>
        <v>8.2175372164366139E-3</v>
      </c>
      <c r="E102" s="128">
        <f t="shared" si="31"/>
        <v>0.13044935918465544</v>
      </c>
      <c r="F102" s="90" t="str">
        <f t="shared" si="24"/>
        <v/>
      </c>
      <c r="G102" s="61">
        <f t="shared" si="25"/>
        <v>1.0086302882342418E-7</v>
      </c>
      <c r="I102" s="61">
        <f t="shared" si="26"/>
        <v>5.705948903890045E-5</v>
      </c>
      <c r="J102" s="61">
        <f t="shared" si="16"/>
        <v>0.75537731657033791</v>
      </c>
      <c r="K102" s="61">
        <f t="shared" si="17"/>
        <v>11.991243153986543</v>
      </c>
      <c r="L102" s="225">
        <f t="shared" si="27"/>
        <v>0.11991243153986543</v>
      </c>
      <c r="N102" s="95">
        <f t="shared" si="18"/>
        <v>1.2424851188775903</v>
      </c>
      <c r="O102" s="95">
        <f t="shared" si="19"/>
        <v>1.7572704145020808</v>
      </c>
      <c r="P102" s="95">
        <f t="shared" si="20"/>
        <v>1.5581264653902291</v>
      </c>
      <c r="Q102" s="95">
        <f t="shared" si="21"/>
        <v>2.0132423658499201</v>
      </c>
      <c r="R102" s="96">
        <f t="shared" si="28"/>
        <v>0</v>
      </c>
      <c r="S102" s="96">
        <f t="shared" si="29"/>
        <v>0</v>
      </c>
      <c r="Z102" s="61">
        <f t="shared" si="22"/>
        <v>-1.2424851188775903</v>
      </c>
      <c r="AA102" s="61">
        <f t="shared" si="23"/>
        <v>-1.7572704145020808</v>
      </c>
    </row>
    <row r="103" spans="2:27" ht="17" x14ac:dyDescent="0.2">
      <c r="B103" s="99" t="str">
        <f>'1.RETURNS'!A104</f>
        <v>22-May-2023</v>
      </c>
      <c r="C103" s="226">
        <f>'1.RETURNS'!D104</f>
        <v>-1.8805393851591336E-3</v>
      </c>
      <c r="D103" s="125">
        <f t="shared" si="30"/>
        <v>7.0437014860837074E-3</v>
      </c>
      <c r="E103" s="126">
        <f t="shared" si="31"/>
        <v>0.11181529464932145</v>
      </c>
      <c r="F103" s="90" t="str">
        <f t="shared" si="24"/>
        <v/>
      </c>
      <c r="G103" s="61">
        <f t="shared" si="25"/>
        <v>3.5364283791346925E-6</v>
      </c>
      <c r="I103" s="61">
        <f t="shared" si="26"/>
        <v>5.151065198594772E-5</v>
      </c>
      <c r="J103" s="61">
        <f t="shared" si="16"/>
        <v>0.71770921678593291</v>
      </c>
      <c r="K103" s="61">
        <f t="shared" si="17"/>
        <v>11.393280607647135</v>
      </c>
      <c r="L103" s="225">
        <f t="shared" si="27"/>
        <v>0.11393280607647135</v>
      </c>
      <c r="N103" s="95">
        <f t="shared" si="18"/>
        <v>1.1805266083268418</v>
      </c>
      <c r="O103" s="95">
        <f t="shared" si="19"/>
        <v>1.6696413106494719</v>
      </c>
      <c r="P103" s="95">
        <f t="shared" si="20"/>
        <v>1.4804279935304692</v>
      </c>
      <c r="Q103" s="95">
        <f t="shared" si="21"/>
        <v>1.912848810651119</v>
      </c>
      <c r="R103" s="96">
        <f t="shared" si="28"/>
        <v>0</v>
      </c>
      <c r="S103" s="96">
        <f t="shared" si="29"/>
        <v>0</v>
      </c>
      <c r="Z103" s="61">
        <f t="shared" si="22"/>
        <v>-1.1805266083268418</v>
      </c>
      <c r="AA103" s="61">
        <f t="shared" si="23"/>
        <v>-1.6696413106494719</v>
      </c>
    </row>
    <row r="104" spans="2:27" ht="17" x14ac:dyDescent="0.2">
      <c r="B104" s="104" t="str">
        <f>'1.RETURNS'!A105</f>
        <v>23-May-2023</v>
      </c>
      <c r="C104" s="226">
        <f>'1.RETURNS'!D105</f>
        <v>-1.3522654709236045E-2</v>
      </c>
      <c r="D104" s="127">
        <f t="shared" si="30"/>
        <v>7.6536452048387993E-3</v>
      </c>
      <c r="E104" s="128">
        <f t="shared" si="31"/>
        <v>0.12149785101075283</v>
      </c>
      <c r="F104" s="90" t="str">
        <f t="shared" si="24"/>
        <v/>
      </c>
      <c r="G104" s="61">
        <f t="shared" si="25"/>
        <v>1.8286219038522378E-4</v>
      </c>
      <c r="I104" s="61">
        <f t="shared" si="26"/>
        <v>4.7137697025969027E-5</v>
      </c>
      <c r="J104" s="61">
        <f t="shared" si="16"/>
        <v>0.68656898434147917</v>
      </c>
      <c r="K104" s="61">
        <f t="shared" si="17"/>
        <v>10.898944742746519</v>
      </c>
      <c r="L104" s="225">
        <f t="shared" si="27"/>
        <v>0.10898944742746519</v>
      </c>
      <c r="N104" s="95">
        <f t="shared" si="18"/>
        <v>1.12930548404647</v>
      </c>
      <c r="O104" s="95">
        <f t="shared" si="19"/>
        <v>1.5971982971051795</v>
      </c>
      <c r="P104" s="95">
        <f t="shared" si="20"/>
        <v>1.4161946372385361</v>
      </c>
      <c r="Q104" s="95">
        <f t="shared" si="21"/>
        <v>1.8298534203152872</v>
      </c>
      <c r="R104" s="96">
        <f t="shared" si="28"/>
        <v>1</v>
      </c>
      <c r="S104" s="96">
        <f t="shared" si="29"/>
        <v>0</v>
      </c>
      <c r="Z104" s="61">
        <f t="shared" si="22"/>
        <v>-1.12930548404647</v>
      </c>
      <c r="AA104" s="61">
        <f t="shared" si="23"/>
        <v>-1.5971982971051795</v>
      </c>
    </row>
    <row r="105" spans="2:27" ht="17" x14ac:dyDescent="0.2">
      <c r="B105" s="99" t="str">
        <f>'1.RETURNS'!A106</f>
        <v>24-May-2023</v>
      </c>
      <c r="C105" s="226">
        <f>'1.RETURNS'!D106</f>
        <v>-4.2597739168118275E-3</v>
      </c>
      <c r="D105" s="125">
        <f t="shared" si="30"/>
        <v>7.6257319597680274E-3</v>
      </c>
      <c r="E105" s="126">
        <f t="shared" si="31"/>
        <v>0.12105474198230046</v>
      </c>
      <c r="F105" s="90" t="str">
        <f t="shared" si="24"/>
        <v/>
      </c>
      <c r="G105" s="61">
        <f t="shared" si="25"/>
        <v>1.8145673822350378E-5</v>
      </c>
      <c r="I105" s="61">
        <f t="shared" si="26"/>
        <v>6.1353261510596049E-5</v>
      </c>
      <c r="J105" s="61">
        <f t="shared" si="16"/>
        <v>0.78328322789777671</v>
      </c>
      <c r="K105" s="61">
        <f t="shared" si="17"/>
        <v>12.434235762872683</v>
      </c>
      <c r="L105" s="225">
        <f t="shared" si="27"/>
        <v>0.12434235762872684</v>
      </c>
      <c r="N105" s="95">
        <f t="shared" si="18"/>
        <v>1.288386258337914</v>
      </c>
      <c r="O105" s="95">
        <f t="shared" si="19"/>
        <v>1.8221892719918402</v>
      </c>
      <c r="P105" s="95">
        <f t="shared" si="20"/>
        <v>1.6156883460905038</v>
      </c>
      <c r="Q105" s="95">
        <f t="shared" si="21"/>
        <v>2.0876175975515192</v>
      </c>
      <c r="R105" s="96">
        <f t="shared" si="28"/>
        <v>0</v>
      </c>
      <c r="S105" s="96">
        <f t="shared" si="29"/>
        <v>0</v>
      </c>
      <c r="Z105" s="61">
        <f t="shared" si="22"/>
        <v>-1.288386258337914</v>
      </c>
      <c r="AA105" s="61">
        <f t="shared" si="23"/>
        <v>-1.8221892719918402</v>
      </c>
    </row>
    <row r="106" spans="2:27" ht="17" x14ac:dyDescent="0.2">
      <c r="B106" s="104" t="str">
        <f>'1.RETURNS'!A107</f>
        <v>25-May-2023</v>
      </c>
      <c r="C106" s="226">
        <f>'1.RETURNS'!D107</f>
        <v>-3.1870911806153677E-3</v>
      </c>
      <c r="D106" s="127">
        <f t="shared" si="30"/>
        <v>6.5681314651446325E-3</v>
      </c>
      <c r="E106" s="128">
        <f t="shared" si="31"/>
        <v>0.10426585461090601</v>
      </c>
      <c r="F106" s="90" t="str">
        <f t="shared" si="24"/>
        <v/>
      </c>
      <c r="G106" s="61">
        <f t="shared" si="25"/>
        <v>1.0157550193556258E-5</v>
      </c>
      <c r="I106" s="61">
        <f t="shared" si="26"/>
        <v>5.696483966624168E-5</v>
      </c>
      <c r="J106" s="61">
        <f t="shared" si="16"/>
        <v>0.75475055260822221</v>
      </c>
      <c r="K106" s="61">
        <f t="shared" si="17"/>
        <v>11.98129358453957</v>
      </c>
      <c r="L106" s="225">
        <f t="shared" si="27"/>
        <v>0.11981293584539569</v>
      </c>
      <c r="N106" s="95">
        <f t="shared" si="18"/>
        <v>1.2414541839012618</v>
      </c>
      <c r="O106" s="95">
        <f t="shared" si="19"/>
        <v>1.7558123434912876</v>
      </c>
      <c r="P106" s="95">
        <f t="shared" si="20"/>
        <v>1.5568336313382891</v>
      </c>
      <c r="Q106" s="95">
        <f t="shared" si="21"/>
        <v>2.011571905625289</v>
      </c>
      <c r="R106" s="96">
        <f t="shared" si="28"/>
        <v>0</v>
      </c>
      <c r="S106" s="96">
        <f t="shared" si="29"/>
        <v>0</v>
      </c>
      <c r="Z106" s="61">
        <f t="shared" si="22"/>
        <v>-1.2414541839012618</v>
      </c>
      <c r="AA106" s="61">
        <f t="shared" si="23"/>
        <v>-1.7558123434912876</v>
      </c>
    </row>
    <row r="107" spans="2:27" ht="17" x14ac:dyDescent="0.2">
      <c r="B107" s="99" t="str">
        <f>'1.RETURNS'!A108</f>
        <v>26-May-2023</v>
      </c>
      <c r="C107" s="226">
        <f>'1.RETURNS'!D108</f>
        <v>-7.6366518517654268E-3</v>
      </c>
      <c r="D107" s="125">
        <f t="shared" si="30"/>
        <v>6.6437313895106667E-3</v>
      </c>
      <c r="E107" s="126">
        <f t="shared" si="31"/>
        <v>0.10546596620495292</v>
      </c>
      <c r="F107" s="90" t="str">
        <f t="shared" si="24"/>
        <v/>
      </c>
      <c r="G107" s="61">
        <f t="shared" si="25"/>
        <v>5.8318451505072323E-5</v>
      </c>
      <c r="I107" s="61">
        <f t="shared" si="26"/>
        <v>5.2435868735661054E-5</v>
      </c>
      <c r="J107" s="61">
        <f t="shared" si="16"/>
        <v>0.72412615431056659</v>
      </c>
      <c r="K107" s="61">
        <f t="shared" si="17"/>
        <v>11.495146332860051</v>
      </c>
      <c r="L107" s="225">
        <f t="shared" si="27"/>
        <v>0.11495146332860051</v>
      </c>
      <c r="N107" s="95">
        <f t="shared" si="18"/>
        <v>1.1910815312881564</v>
      </c>
      <c r="O107" s="95">
        <f t="shared" si="19"/>
        <v>1.6845693396177563</v>
      </c>
      <c r="P107" s="95">
        <f t="shared" si="20"/>
        <v>1.4936642927475061</v>
      </c>
      <c r="Q107" s="95">
        <f t="shared" si="21"/>
        <v>1.9299513237928434</v>
      </c>
      <c r="R107" s="96">
        <f t="shared" si="28"/>
        <v>0</v>
      </c>
      <c r="S107" s="96">
        <f t="shared" si="29"/>
        <v>0</v>
      </c>
      <c r="Z107" s="61">
        <f t="shared" si="22"/>
        <v>-1.1910815312881564</v>
      </c>
      <c r="AA107" s="61">
        <f t="shared" si="23"/>
        <v>-1.6845693396177563</v>
      </c>
    </row>
    <row r="108" spans="2:27" ht="17" x14ac:dyDescent="0.2">
      <c r="B108" s="104" t="str">
        <f>'1.RETURNS'!A109</f>
        <v>29-May-2023</v>
      </c>
      <c r="C108" s="226">
        <f>'1.RETURNS'!D109</f>
        <v>-1.4816968508920779E-3</v>
      </c>
      <c r="D108" s="127">
        <f t="shared" si="30"/>
        <v>6.5119433356565868E-3</v>
      </c>
      <c r="E108" s="128">
        <f t="shared" si="31"/>
        <v>0.10337389570735044</v>
      </c>
      <c r="F108" s="90" t="str">
        <f t="shared" si="24"/>
        <v/>
      </c>
      <c r="G108" s="61">
        <f t="shared" si="25"/>
        <v>2.1954255579435007E-6</v>
      </c>
      <c r="I108" s="61">
        <f t="shared" si="26"/>
        <v>5.3402333575819129E-5</v>
      </c>
      <c r="J108" s="61">
        <f t="shared" si="16"/>
        <v>0.73076900300860548</v>
      </c>
      <c r="K108" s="61">
        <f t="shared" si="17"/>
        <v>11.600598286772291</v>
      </c>
      <c r="L108" s="225">
        <f t="shared" si="27"/>
        <v>0.11600598286772291</v>
      </c>
      <c r="N108" s="95">
        <f t="shared" si="18"/>
        <v>1.2020080450624155</v>
      </c>
      <c r="O108" s="95">
        <f t="shared" si="19"/>
        <v>1.7000229165640142</v>
      </c>
      <c r="P108" s="95">
        <f t="shared" si="20"/>
        <v>1.507366581835285</v>
      </c>
      <c r="Q108" s="95">
        <f t="shared" si="21"/>
        <v>1.9476559386064622</v>
      </c>
      <c r="R108" s="96">
        <f t="shared" si="28"/>
        <v>0</v>
      </c>
      <c r="S108" s="96">
        <f t="shared" si="29"/>
        <v>0</v>
      </c>
      <c r="Z108" s="61">
        <f t="shared" si="22"/>
        <v>-1.2020080450624155</v>
      </c>
      <c r="AA108" s="61">
        <f t="shared" si="23"/>
        <v>-1.7000229165640142</v>
      </c>
    </row>
    <row r="109" spans="2:27" ht="17" x14ac:dyDescent="0.2">
      <c r="B109" s="99" t="str">
        <f>'1.RETURNS'!A110</f>
        <v>30-May-2023</v>
      </c>
      <c r="C109" s="226">
        <f>'1.RETURNS'!D110</f>
        <v>4.1368001936994891E-3</v>
      </c>
      <c r="D109" s="125">
        <f t="shared" si="30"/>
        <v>6.5840067042679667E-3</v>
      </c>
      <c r="E109" s="126">
        <f t="shared" si="31"/>
        <v>0.10451786621925017</v>
      </c>
      <c r="F109" s="90" t="str">
        <f t="shared" si="24"/>
        <v/>
      </c>
      <c r="G109" s="61">
        <f t="shared" si="25"/>
        <v>1.7113115842592131E-5</v>
      </c>
      <c r="I109" s="61">
        <f t="shared" si="26"/>
        <v>4.8611526095240606E-5</v>
      </c>
      <c r="J109" s="61">
        <f t="shared" si="16"/>
        <v>0.69721966477746888</v>
      </c>
      <c r="K109" s="61">
        <f t="shared" si="17"/>
        <v>11.068019053110017</v>
      </c>
      <c r="L109" s="225">
        <f t="shared" si="27"/>
        <v>0.11068019053110018</v>
      </c>
      <c r="N109" s="95">
        <f t="shared" si="18"/>
        <v>1.1468242943911089</v>
      </c>
      <c r="O109" s="95">
        <f t="shared" si="19"/>
        <v>1.6219754848945325</v>
      </c>
      <c r="P109" s="95">
        <f t="shared" si="20"/>
        <v>1.4381639321825208</v>
      </c>
      <c r="Q109" s="95">
        <f t="shared" si="21"/>
        <v>1.8582397652696458</v>
      </c>
      <c r="R109" s="96">
        <f t="shared" si="28"/>
        <v>0</v>
      </c>
      <c r="S109" s="96">
        <f t="shared" si="29"/>
        <v>0</v>
      </c>
      <c r="Z109" s="61">
        <f t="shared" si="22"/>
        <v>-1.1468242943911089</v>
      </c>
      <c r="AA109" s="61">
        <f t="shared" si="23"/>
        <v>-1.6219754848945325</v>
      </c>
    </row>
    <row r="110" spans="2:27" ht="17" x14ac:dyDescent="0.2">
      <c r="B110" s="104" t="str">
        <f>'1.RETURNS'!A111</f>
        <v>31-May-2023</v>
      </c>
      <c r="C110" s="226">
        <f>'1.RETURNS'!D111</f>
        <v>1.8517186974588037E-2</v>
      </c>
      <c r="D110" s="127">
        <f t="shared" si="30"/>
        <v>7.6102366653292728E-3</v>
      </c>
      <c r="E110" s="128">
        <f t="shared" si="31"/>
        <v>0.12080876180884045</v>
      </c>
      <c r="F110" s="90" t="str">
        <f t="shared" si="24"/>
        <v/>
      </c>
      <c r="G110" s="61">
        <f t="shared" si="25"/>
        <v>3.4288621345185286E-4</v>
      </c>
      <c r="I110" s="61">
        <f t="shared" si="26"/>
        <v>4.6031108765213728E-5</v>
      </c>
      <c r="J110" s="61">
        <f t="shared" si="16"/>
        <v>0.67846229641162614</v>
      </c>
      <c r="K110" s="61">
        <f t="shared" si="17"/>
        <v>10.770255061433717</v>
      </c>
      <c r="L110" s="225">
        <f t="shared" si="27"/>
        <v>0.10770255061433717</v>
      </c>
      <c r="N110" s="95">
        <f t="shared" si="18"/>
        <v>1.1159711690024876</v>
      </c>
      <c r="O110" s="95">
        <f t="shared" si="19"/>
        <v>1.5783393208740533</v>
      </c>
      <c r="P110" s="95">
        <f t="shared" si="20"/>
        <v>1.3994728682191624</v>
      </c>
      <c r="Q110" s="95">
        <f t="shared" si="21"/>
        <v>1.8082473603647371</v>
      </c>
      <c r="R110" s="96">
        <f t="shared" si="28"/>
        <v>0</v>
      </c>
      <c r="S110" s="96">
        <f t="shared" si="29"/>
        <v>0</v>
      </c>
      <c r="Z110" s="61">
        <f t="shared" si="22"/>
        <v>-1.1159711690024876</v>
      </c>
      <c r="AA110" s="61">
        <f t="shared" si="23"/>
        <v>-1.5783393208740533</v>
      </c>
    </row>
    <row r="111" spans="2:27" ht="17" x14ac:dyDescent="0.2">
      <c r="B111" s="99" t="str">
        <f>'1.RETURNS'!A112</f>
        <v>01-Jun-2023</v>
      </c>
      <c r="C111" s="226">
        <f>'1.RETURNS'!D112</f>
        <v>2.2459056846994264E-3</v>
      </c>
      <c r="D111" s="125">
        <f t="shared" si="30"/>
        <v>7.5719311085625319E-3</v>
      </c>
      <c r="E111" s="126">
        <f t="shared" si="31"/>
        <v>0.12020067994662047</v>
      </c>
      <c r="F111" s="90" t="str">
        <f t="shared" si="24"/>
        <v/>
      </c>
      <c r="G111" s="61">
        <f t="shared" si="25"/>
        <v>5.0440923445651996E-6</v>
      </c>
      <c r="I111" s="61">
        <f t="shared" si="26"/>
        <v>7.6415063795616948E-5</v>
      </c>
      <c r="J111" s="61">
        <f t="shared" si="16"/>
        <v>0.87415710141608371</v>
      </c>
      <c r="K111" s="61">
        <f t="shared" si="17"/>
        <v>13.876813782888155</v>
      </c>
      <c r="L111" s="225">
        <f t="shared" si="27"/>
        <v>0.13876813782888153</v>
      </c>
      <c r="N111" s="95">
        <f t="shared" si="18"/>
        <v>1.4378604787896305</v>
      </c>
      <c r="O111" s="95">
        <f t="shared" si="19"/>
        <v>2.0335935144570101</v>
      </c>
      <c r="P111" s="95">
        <f t="shared" si="20"/>
        <v>1.8031350488645259</v>
      </c>
      <c r="Q111" s="95">
        <f t="shared" si="21"/>
        <v>2.3298159375104173</v>
      </c>
      <c r="R111" s="96">
        <f t="shared" si="28"/>
        <v>0</v>
      </c>
      <c r="S111" s="96">
        <f t="shared" si="29"/>
        <v>0</v>
      </c>
      <c r="Z111" s="61">
        <f t="shared" si="22"/>
        <v>-1.4378604787896305</v>
      </c>
      <c r="AA111" s="61">
        <f t="shared" si="23"/>
        <v>-2.0335935144570101</v>
      </c>
    </row>
    <row r="112" spans="2:27" ht="17" x14ac:dyDescent="0.2">
      <c r="B112" s="104" t="str">
        <f>'1.RETURNS'!A113</f>
        <v>02-Jun-2023</v>
      </c>
      <c r="C112" s="226">
        <f>'1.RETURNS'!D113</f>
        <v>2.8498318582551702E-3</v>
      </c>
      <c r="D112" s="127">
        <f t="shared" si="30"/>
        <v>7.5414484744413032E-3</v>
      </c>
      <c r="E112" s="128">
        <f t="shared" si="31"/>
        <v>0.11971678313147481</v>
      </c>
      <c r="F112" s="90" t="str">
        <f t="shared" si="24"/>
        <v/>
      </c>
      <c r="G112" s="61">
        <f t="shared" si="25"/>
        <v>8.121541620326116E-6</v>
      </c>
      <c r="I112" s="61">
        <f t="shared" si="26"/>
        <v>6.8457213460730915E-5</v>
      </c>
      <c r="J112" s="61">
        <f t="shared" si="16"/>
        <v>0.82738874454956735</v>
      </c>
      <c r="K112" s="61">
        <f t="shared" si="17"/>
        <v>13.134389133912622</v>
      </c>
      <c r="L112" s="225">
        <f t="shared" si="27"/>
        <v>0.13134389133912622</v>
      </c>
      <c r="N112" s="95">
        <f t="shared" si="18"/>
        <v>1.3609333773711805</v>
      </c>
      <c r="O112" s="95">
        <f t="shared" si="19"/>
        <v>1.9247940468882063</v>
      </c>
      <c r="P112" s="95">
        <f t="shared" si="20"/>
        <v>1.7066653601698845</v>
      </c>
      <c r="Q112" s="95">
        <f t="shared" si="21"/>
        <v>2.20516824772757</v>
      </c>
      <c r="R112" s="96">
        <f t="shared" si="28"/>
        <v>0</v>
      </c>
      <c r="S112" s="96">
        <f t="shared" si="29"/>
        <v>0</v>
      </c>
      <c r="Z112" s="61">
        <f t="shared" si="22"/>
        <v>-1.3609333773711805</v>
      </c>
      <c r="AA112" s="61">
        <f t="shared" si="23"/>
        <v>-1.9247940468882063</v>
      </c>
    </row>
    <row r="113" spans="2:27" ht="17" x14ac:dyDescent="0.2">
      <c r="B113" s="99" t="str">
        <f>'1.RETURNS'!A114</f>
        <v>05-Jun-2023</v>
      </c>
      <c r="C113" s="226">
        <f>'1.RETURNS'!D114</f>
        <v>-4.7360269968887991E-4</v>
      </c>
      <c r="D113" s="125">
        <f t="shared" si="30"/>
        <v>7.4024017319350606E-3</v>
      </c>
      <c r="E113" s="126">
        <f t="shared" si="31"/>
        <v>0.1175094845237639</v>
      </c>
      <c r="F113" s="90" t="str">
        <f t="shared" si="24"/>
        <v/>
      </c>
      <c r="G113" s="61">
        <f t="shared" si="25"/>
        <v>2.2429951715259538E-7</v>
      </c>
      <c r="I113" s="61">
        <f t="shared" si="26"/>
        <v>6.2000785603653883E-5</v>
      </c>
      <c r="J113" s="61">
        <f t="shared" si="16"/>
        <v>0.78740577597356931</v>
      </c>
      <c r="K113" s="61">
        <f t="shared" si="17"/>
        <v>12.499679184731415</v>
      </c>
      <c r="L113" s="225">
        <f t="shared" si="27"/>
        <v>0.12499679184731415</v>
      </c>
      <c r="N113" s="95">
        <f t="shared" si="18"/>
        <v>1.2951672464926633</v>
      </c>
      <c r="O113" s="95">
        <f t="shared" si="19"/>
        <v>1.8317797529435915</v>
      </c>
      <c r="P113" s="95">
        <f t="shared" si="20"/>
        <v>1.6241919788060064</v>
      </c>
      <c r="Q113" s="95">
        <f t="shared" si="21"/>
        <v>2.0986050713071807</v>
      </c>
      <c r="R113" s="96">
        <f t="shared" si="28"/>
        <v>0</v>
      </c>
      <c r="S113" s="96">
        <f t="shared" si="29"/>
        <v>0</v>
      </c>
      <c r="Z113" s="61">
        <f t="shared" si="22"/>
        <v>-1.2951672464926633</v>
      </c>
      <c r="AA113" s="61">
        <f t="shared" si="23"/>
        <v>-1.8317797529435915</v>
      </c>
    </row>
    <row r="114" spans="2:27" ht="17" x14ac:dyDescent="0.2">
      <c r="B114" s="104" t="str">
        <f>'1.RETURNS'!A115</f>
        <v>06-Jun-2023</v>
      </c>
      <c r="C114" s="226">
        <f>'1.RETURNS'!D115</f>
        <v>-1.7414767249476184E-2</v>
      </c>
      <c r="D114" s="127">
        <f t="shared" si="30"/>
        <v>8.2624791315664674E-3</v>
      </c>
      <c r="E114" s="128">
        <f t="shared" si="31"/>
        <v>0.13116278996991482</v>
      </c>
      <c r="F114" s="90" t="str">
        <f t="shared" si="24"/>
        <v/>
      </c>
      <c r="G114" s="61">
        <f t="shared" si="25"/>
        <v>3.0327411835342826E-4</v>
      </c>
      <c r="I114" s="61">
        <f t="shared" si="26"/>
        <v>5.5723097714821059E-5</v>
      </c>
      <c r="J114" s="61">
        <f t="shared" si="16"/>
        <v>0.74647905338878107</v>
      </c>
      <c r="K114" s="61">
        <f t="shared" si="17"/>
        <v>11.849987605113732</v>
      </c>
      <c r="L114" s="225">
        <f t="shared" si="27"/>
        <v>0.11849987605113732</v>
      </c>
      <c r="N114" s="95">
        <f t="shared" si="18"/>
        <v>1.2278487784098377</v>
      </c>
      <c r="O114" s="95">
        <f t="shared" si="19"/>
        <v>1.73656995886701</v>
      </c>
      <c r="P114" s="95">
        <f t="shared" si="20"/>
        <v>1.53977190396106</v>
      </c>
      <c r="Q114" s="95">
        <f t="shared" si="21"/>
        <v>1.9895265882820552</v>
      </c>
      <c r="R114" s="96">
        <f t="shared" si="28"/>
        <v>1</v>
      </c>
      <c r="S114" s="96">
        <f t="shared" si="29"/>
        <v>1</v>
      </c>
      <c r="Z114" s="61">
        <f t="shared" si="22"/>
        <v>-1.2278487784098377</v>
      </c>
      <c r="AA114" s="61">
        <f t="shared" si="23"/>
        <v>-1.73656995886701</v>
      </c>
    </row>
    <row r="115" spans="2:27" ht="17" x14ac:dyDescent="0.2">
      <c r="B115" s="99" t="str">
        <f>'1.RETURNS'!A116</f>
        <v>07-Jun-2023</v>
      </c>
      <c r="C115" s="226">
        <f>'1.RETURNS'!D116</f>
        <v>-4.426966127051383E-5</v>
      </c>
      <c r="D115" s="125">
        <f t="shared" si="30"/>
        <v>7.8269265990704093E-3</v>
      </c>
      <c r="E115" s="126">
        <f t="shared" si="31"/>
        <v>0.12424860786658112</v>
      </c>
      <c r="F115" s="90" t="str">
        <f t="shared" si="24"/>
        <v/>
      </c>
      <c r="G115" s="61">
        <f t="shared" si="25"/>
        <v>1.9598029090060322E-9</v>
      </c>
      <c r="I115" s="61">
        <f t="shared" si="26"/>
        <v>8.069204489294073E-5</v>
      </c>
      <c r="J115" s="61">
        <f t="shared" si="16"/>
        <v>0.89828750905787802</v>
      </c>
      <c r="K115" s="61">
        <f t="shared" si="17"/>
        <v>14.259872128816957</v>
      </c>
      <c r="L115" s="225">
        <f t="shared" si="27"/>
        <v>0.14259872128816956</v>
      </c>
      <c r="N115" s="95">
        <f t="shared" si="18"/>
        <v>1.4775514673190535</v>
      </c>
      <c r="O115" s="95">
        <f t="shared" si="19"/>
        <v>2.0897292369742368</v>
      </c>
      <c r="P115" s="95">
        <f t="shared" si="20"/>
        <v>1.85290914975763</v>
      </c>
      <c r="Q115" s="95">
        <f t="shared" si="21"/>
        <v>2.3941286431000681</v>
      </c>
      <c r="R115" s="96">
        <f t="shared" si="28"/>
        <v>0</v>
      </c>
      <c r="S115" s="96">
        <f t="shared" si="29"/>
        <v>0</v>
      </c>
      <c r="Z115" s="61">
        <f t="shared" si="22"/>
        <v>-1.4775514673190535</v>
      </c>
      <c r="AA115" s="61">
        <f t="shared" si="23"/>
        <v>-2.0897292369742368</v>
      </c>
    </row>
    <row r="116" spans="2:27" ht="17" x14ac:dyDescent="0.2">
      <c r="B116" s="104" t="str">
        <f>'1.RETURNS'!A117</f>
        <v>08-Jun-2023</v>
      </c>
      <c r="C116" s="226">
        <f>'1.RETURNS'!D117</f>
        <v>8.5553299020116216E-4</v>
      </c>
      <c r="D116" s="127">
        <f t="shared" si="30"/>
        <v>7.7614948329201034E-3</v>
      </c>
      <c r="E116" s="128">
        <f t="shared" si="31"/>
        <v>0.12320991078011646</v>
      </c>
      <c r="F116" s="90" t="str">
        <f t="shared" si="24"/>
        <v/>
      </c>
      <c r="G116" s="61">
        <f t="shared" si="25"/>
        <v>7.3193669732254185E-7</v>
      </c>
      <c r="I116" s="61">
        <f t="shared" si="26"/>
        <v>7.1588434139290523E-5</v>
      </c>
      <c r="J116" s="61">
        <f t="shared" si="16"/>
        <v>0.84609948669935098</v>
      </c>
      <c r="K116" s="61">
        <f t="shared" si="17"/>
        <v>13.431412957355311</v>
      </c>
      <c r="L116" s="225">
        <f t="shared" si="27"/>
        <v>0.13431412957355313</v>
      </c>
      <c r="N116" s="95">
        <f t="shared" si="18"/>
        <v>1.3917098094592057</v>
      </c>
      <c r="O116" s="95">
        <f t="shared" si="19"/>
        <v>1.9683217421100818</v>
      </c>
      <c r="P116" s="95">
        <f t="shared" si="20"/>
        <v>1.7452602476402124</v>
      </c>
      <c r="Q116" s="95">
        <f t="shared" si="21"/>
        <v>2.2550363837783971</v>
      </c>
      <c r="R116" s="96">
        <f t="shared" si="28"/>
        <v>0</v>
      </c>
      <c r="S116" s="96">
        <f t="shared" si="29"/>
        <v>0</v>
      </c>
      <c r="Z116" s="61">
        <f t="shared" si="22"/>
        <v>-1.3917098094592057</v>
      </c>
      <c r="AA116" s="61">
        <f t="shared" si="23"/>
        <v>-1.9683217421100818</v>
      </c>
    </row>
    <row r="117" spans="2:27" ht="17" x14ac:dyDescent="0.2">
      <c r="B117" s="99" t="str">
        <f>'1.RETURNS'!A118</f>
        <v>09-Jun-2023</v>
      </c>
      <c r="C117" s="226">
        <f>'1.RETURNS'!D118</f>
        <v>2.3033526640812738E-2</v>
      </c>
      <c r="D117" s="125">
        <f t="shared" si="30"/>
        <v>9.5265520976170436E-3</v>
      </c>
      <c r="E117" s="126">
        <f t="shared" si="31"/>
        <v>0.15122932621317253</v>
      </c>
      <c r="F117" s="90" t="str">
        <f t="shared" si="24"/>
        <v/>
      </c>
      <c r="G117" s="61">
        <f t="shared" si="25"/>
        <v>5.3054334951303014E-4</v>
      </c>
      <c r="I117" s="61">
        <f t="shared" si="26"/>
        <v>6.3923362688129195E-5</v>
      </c>
      <c r="J117" s="61">
        <f t="shared" si="16"/>
        <v>0.79952087332432542</v>
      </c>
      <c r="K117" s="61">
        <f t="shared" si="17"/>
        <v>12.692000392928044</v>
      </c>
      <c r="L117" s="225">
        <f t="shared" si="27"/>
        <v>0.12692000392928043</v>
      </c>
      <c r="N117" s="95">
        <f t="shared" si="18"/>
        <v>1.3150948083109246</v>
      </c>
      <c r="O117" s="95">
        <f t="shared" si="19"/>
        <v>1.8599636839093208</v>
      </c>
      <c r="P117" s="95">
        <f t="shared" si="20"/>
        <v>1.6491819452756102</v>
      </c>
      <c r="Q117" s="95">
        <f t="shared" si="21"/>
        <v>2.1308944010472897</v>
      </c>
      <c r="R117" s="96">
        <f t="shared" si="28"/>
        <v>0</v>
      </c>
      <c r="S117" s="96">
        <f t="shared" si="29"/>
        <v>0</v>
      </c>
      <c r="Z117" s="61">
        <f t="shared" si="22"/>
        <v>-1.3150948083109246</v>
      </c>
      <c r="AA117" s="61">
        <f t="shared" si="23"/>
        <v>-1.8599636839093208</v>
      </c>
    </row>
    <row r="118" spans="2:27" ht="17" x14ac:dyDescent="0.2">
      <c r="B118" s="104" t="str">
        <f>'1.RETURNS'!A119</f>
        <v>12-Jun-2023</v>
      </c>
      <c r="C118" s="226">
        <f>'1.RETURNS'!D119</f>
        <v>-2.1828715821635221E-3</v>
      </c>
      <c r="D118" s="127">
        <f t="shared" si="30"/>
        <v>9.5082128852086376E-3</v>
      </c>
      <c r="E118" s="128">
        <f t="shared" si="31"/>
        <v>0.15093820024153193</v>
      </c>
      <c r="F118" s="90" t="str">
        <f t="shared" si="24"/>
        <v/>
      </c>
      <c r="G118" s="61">
        <f t="shared" si="25"/>
        <v>4.7649283442170778E-6</v>
      </c>
      <c r="I118" s="61">
        <f t="shared" si="26"/>
        <v>1.1038919323621283E-4</v>
      </c>
      <c r="J118" s="61">
        <f t="shared" si="16"/>
        <v>1.050662615858263</v>
      </c>
      <c r="K118" s="61">
        <f t="shared" si="17"/>
        <v>16.678751960361311</v>
      </c>
      <c r="L118" s="225">
        <f t="shared" si="27"/>
        <v>0.1667875196036131</v>
      </c>
      <c r="N118" s="95">
        <f t="shared" si="18"/>
        <v>1.7281862143967845</v>
      </c>
      <c r="O118" s="95">
        <f t="shared" si="19"/>
        <v>2.4442067427360588</v>
      </c>
      <c r="P118" s="95">
        <f t="shared" si="20"/>
        <v>2.1672152341000963</v>
      </c>
      <c r="Q118" s="95">
        <f t="shared" si="21"/>
        <v>2.8002409445711653</v>
      </c>
      <c r="R118" s="96">
        <f t="shared" si="28"/>
        <v>0</v>
      </c>
      <c r="S118" s="96">
        <f t="shared" si="29"/>
        <v>0</v>
      </c>
      <c r="Z118" s="61">
        <f t="shared" si="22"/>
        <v>-1.7281862143967845</v>
      </c>
      <c r="AA118" s="61">
        <f t="shared" si="23"/>
        <v>-2.4442067427360588</v>
      </c>
    </row>
    <row r="119" spans="2:27" ht="17" x14ac:dyDescent="0.2">
      <c r="B119" s="99" t="str">
        <f>'1.RETURNS'!A120</f>
        <v>13-Jun-2023</v>
      </c>
      <c r="C119" s="226">
        <f>'1.RETURNS'!D120</f>
        <v>3.2749219250035968E-3</v>
      </c>
      <c r="D119" s="125">
        <f t="shared" si="30"/>
        <v>8.9324538969897168E-3</v>
      </c>
      <c r="E119" s="126">
        <f t="shared" si="31"/>
        <v>0.14179830965390733</v>
      </c>
      <c r="F119" s="90" t="str">
        <f t="shared" si="24"/>
        <v/>
      </c>
      <c r="G119" s="61">
        <f t="shared" si="25"/>
        <v>1.0725113614869264E-5</v>
      </c>
      <c r="I119" s="61">
        <f t="shared" si="26"/>
        <v>9.7307307085202599E-5</v>
      </c>
      <c r="J119" s="61">
        <f t="shared" si="16"/>
        <v>0.98644466182955548</v>
      </c>
      <c r="K119" s="61">
        <f t="shared" si="17"/>
        <v>15.659323543969279</v>
      </c>
      <c r="L119" s="225">
        <f t="shared" si="27"/>
        <v>0.15659323543969278</v>
      </c>
      <c r="N119" s="95">
        <f t="shared" si="18"/>
        <v>1.6225570797972622</v>
      </c>
      <c r="O119" s="95">
        <f t="shared" si="19"/>
        <v>2.2948134419061224</v>
      </c>
      <c r="P119" s="95">
        <f t="shared" si="20"/>
        <v>2.0347520378531581</v>
      </c>
      <c r="Q119" s="95">
        <f t="shared" si="21"/>
        <v>2.6290863402923406</v>
      </c>
      <c r="R119" s="96">
        <f t="shared" si="28"/>
        <v>0</v>
      </c>
      <c r="S119" s="96">
        <f t="shared" si="29"/>
        <v>0</v>
      </c>
      <c r="Z119" s="61">
        <f t="shared" si="22"/>
        <v>-1.6225570797972622</v>
      </c>
      <c r="AA119" s="61">
        <f t="shared" si="23"/>
        <v>-2.2948134419061224</v>
      </c>
    </row>
    <row r="120" spans="2:27" ht="17" x14ac:dyDescent="0.2">
      <c r="B120" s="104" t="str">
        <f>'1.RETURNS'!A121</f>
        <v>14-Jun-2023</v>
      </c>
      <c r="C120" s="226">
        <f>'1.RETURNS'!D121</f>
        <v>-5.9971813265716448E-5</v>
      </c>
      <c r="D120" s="127">
        <f t="shared" si="30"/>
        <v>8.9016643589392881E-3</v>
      </c>
      <c r="E120" s="128">
        <f t="shared" si="31"/>
        <v>0.14130954088992337</v>
      </c>
      <c r="F120" s="90" t="str">
        <f t="shared" si="24"/>
        <v/>
      </c>
      <c r="G120" s="61">
        <f t="shared" si="25"/>
        <v>3.5966183863779635E-9</v>
      </c>
      <c r="I120" s="61">
        <f t="shared" si="26"/>
        <v>8.6783722383909132E-5</v>
      </c>
      <c r="J120" s="61">
        <f t="shared" si="16"/>
        <v>0.9315778141621297</v>
      </c>
      <c r="K120" s="61">
        <f t="shared" si="17"/>
        <v>14.788339339068841</v>
      </c>
      <c r="L120" s="225">
        <f t="shared" si="27"/>
        <v>0.1478833933906884</v>
      </c>
      <c r="N120" s="95">
        <f t="shared" si="18"/>
        <v>1.532309146412103</v>
      </c>
      <c r="O120" s="95">
        <f t="shared" si="19"/>
        <v>2.1671740674796838</v>
      </c>
      <c r="P120" s="95">
        <f t="shared" si="20"/>
        <v>1.9215774884619998</v>
      </c>
      <c r="Q120" s="95">
        <f t="shared" si="21"/>
        <v>2.4828544376635704</v>
      </c>
      <c r="R120" s="96">
        <f t="shared" si="28"/>
        <v>0</v>
      </c>
      <c r="S120" s="96">
        <f t="shared" si="29"/>
        <v>0</v>
      </c>
      <c r="Z120" s="61">
        <f t="shared" si="22"/>
        <v>-1.532309146412103</v>
      </c>
      <c r="AA120" s="61">
        <f t="shared" si="23"/>
        <v>-2.1671740674796838</v>
      </c>
    </row>
    <row r="121" spans="2:27" ht="17" x14ac:dyDescent="0.2">
      <c r="B121" s="230" t="str">
        <f>'1.RETURNS'!A122</f>
        <v>15-Jun-2023</v>
      </c>
      <c r="C121" s="231">
        <f>'1.RETURNS'!D122</f>
        <v>1.2508700586033395E-2</v>
      </c>
      <c r="D121" s="232">
        <f t="shared" si="30"/>
        <v>9.2992826939848582E-3</v>
      </c>
      <c r="E121" s="233">
        <f t="shared" si="31"/>
        <v>0.14762153627742419</v>
      </c>
      <c r="F121" s="90" t="str">
        <f t="shared" si="24"/>
        <v/>
      </c>
      <c r="G121" s="61">
        <f t="shared" si="25"/>
        <v>1.564675903510322E-4</v>
      </c>
      <c r="I121" s="61">
        <f t="shared" si="26"/>
        <v>7.6766523688161388E-5</v>
      </c>
      <c r="J121" s="61">
        <f t="shared" si="16"/>
        <v>0.87616507399097676</v>
      </c>
      <c r="K121" s="61">
        <f t="shared" si="17"/>
        <v>13.908689359323786</v>
      </c>
      <c r="L121" s="225">
        <f t="shared" si="27"/>
        <v>0.13908689359323786</v>
      </c>
      <c r="N121" s="95">
        <f t="shared" si="18"/>
        <v>1.4411632997622625</v>
      </c>
      <c r="O121" s="95">
        <f t="shared" si="19"/>
        <v>2.0382647571877448</v>
      </c>
      <c r="P121" s="95">
        <f t="shared" si="20"/>
        <v>1.8072769196118814</v>
      </c>
      <c r="Q121" s="95">
        <f t="shared" si="21"/>
        <v>2.3351676145710862</v>
      </c>
      <c r="R121" s="96">
        <f t="shared" si="28"/>
        <v>0</v>
      </c>
      <c r="S121" s="96">
        <f t="shared" si="29"/>
        <v>0</v>
      </c>
      <c r="Z121" s="61">
        <f t="shared" si="22"/>
        <v>-1.4411632997622625</v>
      </c>
      <c r="AA121" s="61">
        <f t="shared" si="23"/>
        <v>-2.0382647571877448</v>
      </c>
    </row>
    <row r="122" spans="2:27" ht="17" x14ac:dyDescent="0.2">
      <c r="B122" s="230" t="str">
        <f>'1.RETURNS'!A123</f>
        <v>16-Jun-2023</v>
      </c>
      <c r="C122" s="231">
        <f>'1.RETURNS'!D123</f>
        <v>-3.6606252165093972E-2</v>
      </c>
      <c r="D122" s="232">
        <f t="shared" si="30"/>
        <v>1.2507664296432236E-2</v>
      </c>
      <c r="E122" s="233">
        <f t="shared" si="31"/>
        <v>0.19855301526384816</v>
      </c>
      <c r="F122" s="90" t="str">
        <f t="shared" si="24"/>
        <v>▲ ELEVATED</v>
      </c>
      <c r="G122" s="61">
        <f t="shared" si="25"/>
        <v>1.3400176975744472E-3</v>
      </c>
      <c r="I122" s="61">
        <f t="shared" si="26"/>
        <v>8.3898304170040394E-5</v>
      </c>
      <c r="J122" s="61">
        <f t="shared" si="16"/>
        <v>0.91596017473490832</v>
      </c>
      <c r="K122" s="61">
        <f t="shared" si="17"/>
        <v>14.540416999127011</v>
      </c>
      <c r="L122" s="225">
        <f t="shared" si="27"/>
        <v>0.14540416999127012</v>
      </c>
      <c r="N122" s="95">
        <f t="shared" si="18"/>
        <v>1.5066204155558176</v>
      </c>
      <c r="O122" s="95">
        <f t="shared" si="19"/>
        <v>2.1308420052006309</v>
      </c>
      <c r="P122" s="95">
        <f t="shared" si="20"/>
        <v>1.8893627835924374</v>
      </c>
      <c r="Q122" s="95">
        <f t="shared" si="21"/>
        <v>2.4412300829739069</v>
      </c>
      <c r="R122" s="96">
        <f t="shared" si="28"/>
        <v>1</v>
      </c>
      <c r="S122" s="96">
        <f t="shared" si="29"/>
        <v>1</v>
      </c>
      <c r="Z122" s="61">
        <f t="shared" si="22"/>
        <v>-1.5066204155558176</v>
      </c>
      <c r="AA122" s="61">
        <f t="shared" si="23"/>
        <v>-2.1308420052006309</v>
      </c>
    </row>
    <row r="123" spans="2:27" ht="17" x14ac:dyDescent="0.2">
      <c r="B123" s="230" t="str">
        <f>'1.RETURNS'!A124</f>
        <v>19-Jun-2023</v>
      </c>
      <c r="C123" s="231">
        <f>'1.RETURNS'!D124</f>
        <v>1.0214898094171075E-2</v>
      </c>
      <c r="D123" s="232">
        <f t="shared" si="30"/>
        <v>1.2756177494577159E-2</v>
      </c>
      <c r="E123" s="233">
        <f t="shared" si="31"/>
        <v>0.20249803998270088</v>
      </c>
      <c r="F123" s="90" t="str">
        <f t="shared" si="24"/>
        <v>▲ ELEVATED</v>
      </c>
      <c r="G123" s="61">
        <f t="shared" si="25"/>
        <v>1.0434414307429987E-4</v>
      </c>
      <c r="I123" s="61">
        <f t="shared" si="26"/>
        <v>2.0831532830197907E-4</v>
      </c>
      <c r="J123" s="61">
        <f t="shared" si="16"/>
        <v>1.4433133003682155</v>
      </c>
      <c r="K123" s="61">
        <f t="shared" si="17"/>
        <v>22.911888340357006</v>
      </c>
      <c r="L123" s="225">
        <f t="shared" si="27"/>
        <v>0.22911888340357006</v>
      </c>
      <c r="N123" s="95">
        <f t="shared" si="18"/>
        <v>2.3740391169379578</v>
      </c>
      <c r="O123" s="95">
        <f t="shared" si="19"/>
        <v>3.3576488278864676</v>
      </c>
      <c r="P123" s="95">
        <f t="shared" si="20"/>
        <v>2.9771408299153341</v>
      </c>
      <c r="Q123" s="95">
        <f t="shared" si="21"/>
        <v>3.8467391325556051</v>
      </c>
      <c r="R123" s="96">
        <f t="shared" si="28"/>
        <v>0</v>
      </c>
      <c r="S123" s="96">
        <f t="shared" si="29"/>
        <v>0</v>
      </c>
      <c r="Z123" s="61">
        <f t="shared" si="22"/>
        <v>-2.3740391169379578</v>
      </c>
      <c r="AA123" s="61">
        <f t="shared" si="23"/>
        <v>-3.3576488278864676</v>
      </c>
    </row>
    <row r="124" spans="2:27" ht="17" x14ac:dyDescent="0.2">
      <c r="B124" s="230" t="str">
        <f>'1.RETURNS'!A125</f>
        <v>20-Jun-2023</v>
      </c>
      <c r="C124" s="231">
        <f>'1.RETURNS'!D125</f>
        <v>-2.3835530640385981E-2</v>
      </c>
      <c r="D124" s="232">
        <f t="shared" si="30"/>
        <v>1.3498757498525339E-2</v>
      </c>
      <c r="E124" s="233">
        <f t="shared" si="31"/>
        <v>0.21428613209679834</v>
      </c>
      <c r="F124" s="90" t="str">
        <f t="shared" si="24"/>
        <v>▲ ELEVATED</v>
      </c>
      <c r="G124" s="61">
        <f t="shared" si="25"/>
        <v>5.6813252090877895E-4</v>
      </c>
      <c r="I124" s="61">
        <f t="shared" si="26"/>
        <v>1.9050244336411219E-4</v>
      </c>
      <c r="J124" s="61">
        <f t="shared" si="16"/>
        <v>1.3802262255301201</v>
      </c>
      <c r="K124" s="61">
        <f t="shared" si="17"/>
        <v>21.910412074572282</v>
      </c>
      <c r="L124" s="225">
        <f t="shared" si="27"/>
        <v>0.21910412074572283</v>
      </c>
      <c r="N124" s="95">
        <f t="shared" si="18"/>
        <v>2.2702701130767577</v>
      </c>
      <c r="O124" s="95">
        <f t="shared" si="19"/>
        <v>3.2108863454574088</v>
      </c>
      <c r="P124" s="95">
        <f t="shared" si="20"/>
        <v>2.847010312658615</v>
      </c>
      <c r="Q124" s="95">
        <f t="shared" si="21"/>
        <v>3.6785985635770935</v>
      </c>
      <c r="R124" s="96">
        <f t="shared" si="28"/>
        <v>1</v>
      </c>
      <c r="S124" s="96">
        <f t="shared" si="29"/>
        <v>0</v>
      </c>
      <c r="Z124" s="61">
        <f t="shared" si="22"/>
        <v>-2.2702701130767577</v>
      </c>
      <c r="AA124" s="61">
        <f t="shared" si="23"/>
        <v>-3.2108863454574088</v>
      </c>
    </row>
    <row r="125" spans="2:27" ht="17" x14ac:dyDescent="0.2">
      <c r="B125" s="230" t="str">
        <f>'1.RETURNS'!A126</f>
        <v>21-Jun-2023</v>
      </c>
      <c r="C125" s="231">
        <f>'1.RETURNS'!D126</f>
        <v>1.1507447235039049E-2</v>
      </c>
      <c r="D125" s="232">
        <f t="shared" si="30"/>
        <v>1.3754951912361186E-2</v>
      </c>
      <c r="E125" s="233">
        <f t="shared" si="31"/>
        <v>0.21835309233456004</v>
      </c>
      <c r="F125" s="90" t="str">
        <f t="shared" si="24"/>
        <v>▲ ELEVATED</v>
      </c>
      <c r="G125" s="61">
        <f t="shared" si="25"/>
        <v>1.3242134186720785E-4</v>
      </c>
      <c r="I125" s="61">
        <f t="shared" si="26"/>
        <v>2.2174032895037324E-4</v>
      </c>
      <c r="J125" s="61">
        <f t="shared" si="16"/>
        <v>1.4890947886228507</v>
      </c>
      <c r="K125" s="61">
        <f t="shared" si="17"/>
        <v>23.638646935790142</v>
      </c>
      <c r="L125" s="225">
        <f t="shared" si="27"/>
        <v>0.23638646935790142</v>
      </c>
      <c r="N125" s="95">
        <f t="shared" si="18"/>
        <v>2.4493429639408308</v>
      </c>
      <c r="O125" s="95">
        <f t="shared" si="19"/>
        <v>3.4641524957580638</v>
      </c>
      <c r="P125" s="95">
        <f t="shared" si="20"/>
        <v>3.0715748920849211</v>
      </c>
      <c r="Q125" s="95">
        <f t="shared" si="21"/>
        <v>3.9687566060804538</v>
      </c>
      <c r="R125" s="96">
        <f t="shared" si="28"/>
        <v>0</v>
      </c>
      <c r="S125" s="96">
        <f t="shared" si="29"/>
        <v>0</v>
      </c>
      <c r="Z125" s="61">
        <f t="shared" si="22"/>
        <v>-2.4493429639408308</v>
      </c>
      <c r="AA125" s="61">
        <f t="shared" si="23"/>
        <v>-3.4641524957580638</v>
      </c>
    </row>
    <row r="126" spans="2:27" ht="17" x14ac:dyDescent="0.2">
      <c r="B126" s="230" t="str">
        <f>'1.RETURNS'!A127</f>
        <v>22-Jun-2023</v>
      </c>
      <c r="C126" s="231">
        <f>'1.RETURNS'!D127</f>
        <v>-4.4243130391294481E-2</v>
      </c>
      <c r="D126" s="232">
        <f t="shared" si="30"/>
        <v>1.6924416616249317E-2</v>
      </c>
      <c r="E126" s="234">
        <f t="shared" si="31"/>
        <v>0.26866678470866984</v>
      </c>
      <c r="F126" s="90" t="str">
        <f t="shared" si="24"/>
        <v>■ HIGH VOLATILITY</v>
      </c>
      <c r="G126" s="61">
        <f t="shared" si="25"/>
        <v>1.9574545868210852E-3</v>
      </c>
      <c r="I126" s="61">
        <f t="shared" si="26"/>
        <v>2.0472141379453804E-4</v>
      </c>
      <c r="J126" s="61">
        <f t="shared" si="16"/>
        <v>1.4308089103529444</v>
      </c>
      <c r="K126" s="61">
        <f t="shared" si="17"/>
        <v>22.713387302695207</v>
      </c>
      <c r="L126" s="225">
        <f t="shared" si="27"/>
        <v>0.22713387302695207</v>
      </c>
      <c r="N126" s="95">
        <f t="shared" si="18"/>
        <v>2.3534712256685237</v>
      </c>
      <c r="O126" s="95">
        <f t="shared" si="19"/>
        <v>3.3285592667582642</v>
      </c>
      <c r="P126" s="95">
        <f t="shared" si="20"/>
        <v>2.9513478644807662</v>
      </c>
      <c r="Q126" s="95">
        <f t="shared" si="21"/>
        <v>3.8134122544701547</v>
      </c>
      <c r="R126" s="96">
        <f t="shared" si="28"/>
        <v>1</v>
      </c>
      <c r="S126" s="96">
        <f t="shared" si="29"/>
        <v>1</v>
      </c>
      <c r="Z126" s="61">
        <f t="shared" si="22"/>
        <v>-2.3534712256685237</v>
      </c>
      <c r="AA126" s="61">
        <f t="shared" si="23"/>
        <v>-3.3285592667582642</v>
      </c>
    </row>
    <row r="127" spans="2:27" ht="17" x14ac:dyDescent="0.2">
      <c r="B127" s="230" t="str">
        <f>'1.RETURNS'!A128</f>
        <v>23-Jun-2023</v>
      </c>
      <c r="C127" s="231">
        <f>'1.RETURNS'!D128</f>
        <v>1.9656652549551592E-2</v>
      </c>
      <c r="D127" s="232">
        <f t="shared" si="30"/>
        <v>1.7555127866823114E-2</v>
      </c>
      <c r="E127" s="234">
        <f t="shared" si="31"/>
        <v>0.27867901541732271</v>
      </c>
      <c r="F127" s="90" t="str">
        <f t="shared" si="24"/>
        <v>■ HIGH VOLATILITY</v>
      </c>
      <c r="G127" s="61">
        <f t="shared" si="25"/>
        <v>3.8638398945379311E-4</v>
      </c>
      <c r="I127" s="61">
        <f t="shared" si="26"/>
        <v>3.7275866040746585E-4</v>
      </c>
      <c r="J127" s="61">
        <f t="shared" si="16"/>
        <v>1.9306958859630532</v>
      </c>
      <c r="K127" s="61">
        <f t="shared" si="17"/>
        <v>30.648847029322557</v>
      </c>
      <c r="L127" s="225">
        <f t="shared" si="27"/>
        <v>0.30648847029322557</v>
      </c>
      <c r="N127" s="95">
        <f t="shared" si="18"/>
        <v>3.1757121305666125</v>
      </c>
      <c r="O127" s="95">
        <f t="shared" si="19"/>
        <v>4.4914702697295459</v>
      </c>
      <c r="P127" s="95">
        <f t="shared" si="20"/>
        <v>3.9824711313778911</v>
      </c>
      <c r="Q127" s="95">
        <f t="shared" si="21"/>
        <v>5.1457181304318738</v>
      </c>
      <c r="R127" s="96">
        <f t="shared" si="28"/>
        <v>0</v>
      </c>
      <c r="S127" s="96">
        <f t="shared" si="29"/>
        <v>0</v>
      </c>
      <c r="Z127" s="61">
        <f t="shared" si="22"/>
        <v>-3.1757121305666125</v>
      </c>
      <c r="AA127" s="61">
        <f t="shared" si="23"/>
        <v>-4.4914702697295459</v>
      </c>
    </row>
    <row r="128" spans="2:27" ht="17" x14ac:dyDescent="0.2">
      <c r="B128" s="230" t="str">
        <f>'1.RETURNS'!A129</f>
        <v>26-Jun-2023</v>
      </c>
      <c r="C128" s="231">
        <f>'1.RETURNS'!D129</f>
        <v>-1.9955287583719825E-2</v>
      </c>
      <c r="D128" s="232">
        <f t="shared" si="30"/>
        <v>1.8067152840576375E-2</v>
      </c>
      <c r="E128" s="234">
        <f t="shared" si="31"/>
        <v>0.28680715989095573</v>
      </c>
      <c r="F128" s="90" t="str">
        <f t="shared" si="24"/>
        <v>■ HIGH VOLATILITY</v>
      </c>
      <c r="G128" s="61">
        <f t="shared" si="25"/>
        <v>3.9821350254896259E-4</v>
      </c>
      <c r="I128" s="61">
        <f t="shared" si="26"/>
        <v>3.5848326029172528E-4</v>
      </c>
      <c r="J128" s="61">
        <f t="shared" si="16"/>
        <v>1.8933654171652265</v>
      </c>
      <c r="K128" s="61">
        <f t="shared" si="17"/>
        <v>30.056244208735524</v>
      </c>
      <c r="L128" s="225">
        <f t="shared" si="27"/>
        <v>0.30056244208735522</v>
      </c>
      <c r="N128" s="95">
        <f t="shared" si="18"/>
        <v>3.1143089735687086</v>
      </c>
      <c r="O128" s="95">
        <f t="shared" si="19"/>
        <v>4.4046266130047744</v>
      </c>
      <c r="P128" s="95">
        <f t="shared" si="20"/>
        <v>3.9054690952783577</v>
      </c>
      <c r="Q128" s="95">
        <f t="shared" si="21"/>
        <v>5.0462244341397309</v>
      </c>
      <c r="R128" s="96">
        <f t="shared" si="28"/>
        <v>0</v>
      </c>
      <c r="S128" s="96">
        <f t="shared" si="29"/>
        <v>0</v>
      </c>
      <c r="Z128" s="61">
        <f t="shared" si="22"/>
        <v>-3.1143089735687086</v>
      </c>
      <c r="AA128" s="61">
        <f t="shared" si="23"/>
        <v>-4.4046266130047744</v>
      </c>
    </row>
    <row r="129" spans="2:27" ht="17" x14ac:dyDescent="0.2">
      <c r="B129" s="230" t="str">
        <f>'1.RETURNS'!A130</f>
        <v>27-Jun-2023</v>
      </c>
      <c r="C129" s="231">
        <f>'1.RETURNS'!D130</f>
        <v>2.730571944294622E-2</v>
      </c>
      <c r="D129" s="232">
        <f t="shared" si="30"/>
        <v>1.9176614971239934E-2</v>
      </c>
      <c r="E129" s="234">
        <f t="shared" si="31"/>
        <v>0.30441932521163351</v>
      </c>
      <c r="F129" s="90" t="str">
        <f t="shared" si="24"/>
        <v>■ HIGH VOLATILITY</v>
      </c>
      <c r="G129" s="61">
        <f t="shared" si="25"/>
        <v>7.456023142968913E-4</v>
      </c>
      <c r="I129" s="61">
        <f t="shared" si="26"/>
        <v>3.4753212150286279E-4</v>
      </c>
      <c r="J129" s="61">
        <f t="shared" si="16"/>
        <v>1.864221342820811</v>
      </c>
      <c r="K129" s="61">
        <f t="shared" si="17"/>
        <v>29.593596371296513</v>
      </c>
      <c r="L129" s="225">
        <f t="shared" si="27"/>
        <v>0.29593596371296516</v>
      </c>
      <c r="N129" s="95">
        <f t="shared" si="18"/>
        <v>3.0663712371791534</v>
      </c>
      <c r="O129" s="95">
        <f t="shared" si="19"/>
        <v>4.336827357612755</v>
      </c>
      <c r="P129" s="95">
        <f t="shared" si="20"/>
        <v>3.8453532398651831</v>
      </c>
      <c r="Q129" s="95">
        <f t="shared" si="21"/>
        <v>4.9685492327581793</v>
      </c>
      <c r="R129" s="96">
        <f t="shared" si="28"/>
        <v>0</v>
      </c>
      <c r="S129" s="96">
        <f t="shared" si="29"/>
        <v>0</v>
      </c>
      <c r="Z129" s="61">
        <f t="shared" si="22"/>
        <v>-3.0663712371791534</v>
      </c>
      <c r="AA129" s="61">
        <f t="shared" si="23"/>
        <v>-4.336827357612755</v>
      </c>
    </row>
    <row r="130" spans="2:27" ht="17" x14ac:dyDescent="0.2">
      <c r="B130" s="230" t="str">
        <f>'1.RETURNS'!A131</f>
        <v>28-Jun-2023</v>
      </c>
      <c r="C130" s="231">
        <f>'1.RETURNS'!D131</f>
        <v>-3.2251292197015106E-2</v>
      </c>
      <c r="D130" s="232">
        <f t="shared" si="30"/>
        <v>1.9855109969652021E-2</v>
      </c>
      <c r="E130" s="234">
        <f t="shared" si="31"/>
        <v>0.31519009940123077</v>
      </c>
      <c r="F130" s="90" t="str">
        <f t="shared" si="24"/>
        <v>■ HIGH VOLATILITY</v>
      </c>
      <c r="G130" s="61">
        <f t="shared" si="25"/>
        <v>1.0401458483772475E-3</v>
      </c>
      <c r="I130" s="61">
        <f t="shared" si="26"/>
        <v>3.7296253470712256E-4</v>
      </c>
      <c r="J130" s="61">
        <f t="shared" si="16"/>
        <v>1.9312237951804616</v>
      </c>
      <c r="K130" s="61">
        <f t="shared" si="17"/>
        <v>30.657227328347044</v>
      </c>
      <c r="L130" s="225">
        <f t="shared" si="27"/>
        <v>0.30657227328347042</v>
      </c>
      <c r="N130" s="95">
        <f t="shared" si="18"/>
        <v>3.1765804639575679</v>
      </c>
      <c r="O130" s="95">
        <f t="shared" si="19"/>
        <v>4.4926983702151508</v>
      </c>
      <c r="P130" s="95">
        <f t="shared" si="20"/>
        <v>3.9835600564818407</v>
      </c>
      <c r="Q130" s="95">
        <f t="shared" si="21"/>
        <v>5.1471251215851623</v>
      </c>
      <c r="R130" s="96">
        <f t="shared" si="28"/>
        <v>1</v>
      </c>
      <c r="S130" s="96">
        <f t="shared" si="29"/>
        <v>0</v>
      </c>
      <c r="Z130" s="61">
        <f t="shared" si="22"/>
        <v>-3.1765804639575679</v>
      </c>
      <c r="AA130" s="61">
        <f t="shared" si="23"/>
        <v>-4.4926983702151508</v>
      </c>
    </row>
    <row r="131" spans="2:27" ht="17" x14ac:dyDescent="0.2">
      <c r="B131" s="230" t="str">
        <f>'1.RETURNS'!A132</f>
        <v>29-Jun-2023</v>
      </c>
      <c r="C131" s="231">
        <f>'1.RETURNS'!D132</f>
        <v>-6.0629526588263389E-3</v>
      </c>
      <c r="D131" s="232">
        <f t="shared" si="30"/>
        <v>1.9822488630749934E-2</v>
      </c>
      <c r="E131" s="234">
        <f t="shared" si="31"/>
        <v>0.31467225170021751</v>
      </c>
      <c r="F131" s="90" t="str">
        <f t="shared" si="24"/>
        <v>■ HIGH VOLATILITY</v>
      </c>
      <c r="G131" s="61">
        <f t="shared" si="25"/>
        <v>3.6759394943169373E-5</v>
      </c>
      <c r="I131" s="61">
        <f t="shared" si="26"/>
        <v>4.2403273933877891E-4</v>
      </c>
      <c r="J131" s="61">
        <f t="shared" si="16"/>
        <v>2.059205524805086</v>
      </c>
      <c r="K131" s="61">
        <f t="shared" si="17"/>
        <v>32.688874302027031</v>
      </c>
      <c r="L131" s="225">
        <f t="shared" si="27"/>
        <v>0.32688874302027032</v>
      </c>
      <c r="N131" s="95">
        <f t="shared" si="18"/>
        <v>3.3870916761141543</v>
      </c>
      <c r="O131" s="95">
        <f t="shared" si="19"/>
        <v>4.7904283948434658</v>
      </c>
      <c r="P131" s="95">
        <f t="shared" si="20"/>
        <v>4.2475496093055067</v>
      </c>
      <c r="Q131" s="95">
        <f t="shared" si="21"/>
        <v>5.4882238473251634</v>
      </c>
      <c r="R131" s="96">
        <f t="shared" si="28"/>
        <v>0</v>
      </c>
      <c r="S131" s="96">
        <f t="shared" si="29"/>
        <v>0</v>
      </c>
      <c r="Z131" s="61">
        <f t="shared" si="22"/>
        <v>-3.3870916761141543</v>
      </c>
      <c r="AA131" s="61">
        <f t="shared" si="23"/>
        <v>-4.7904283948434658</v>
      </c>
    </row>
    <row r="132" spans="2:27" ht="17" x14ac:dyDescent="0.2">
      <c r="B132" s="104" t="str">
        <f>'1.RETURNS'!A133</f>
        <v>30-Jun-2023</v>
      </c>
      <c r="C132" s="226">
        <f>'1.RETURNS'!D133</f>
        <v>1.2904167546731403E-3</v>
      </c>
      <c r="D132" s="127">
        <f t="shared" si="30"/>
        <v>1.9798852127500516E-2</v>
      </c>
      <c r="E132" s="235">
        <f t="shared" si="31"/>
        <v>0.3142970338434507</v>
      </c>
      <c r="F132" s="90" t="str">
        <f t="shared" si="24"/>
        <v>■ HIGH VOLATILITY</v>
      </c>
      <c r="G132" s="61">
        <f t="shared" si="25"/>
        <v>1.6651754007411596E-6</v>
      </c>
      <c r="I132" s="61">
        <f t="shared" si="26"/>
        <v>3.6710376793227899E-4</v>
      </c>
      <c r="J132" s="61">
        <f t="shared" ref="J132:J195" si="32">SQRT(I132)*100</f>
        <v>1.9159952190239908</v>
      </c>
      <c r="K132" s="61">
        <f t="shared" ref="K132:K195" si="33">J132*SQRT(252)</f>
        <v>30.415481176357268</v>
      </c>
      <c r="L132" s="225">
        <f t="shared" si="27"/>
        <v>0.30415481176357267</v>
      </c>
      <c r="N132" s="95">
        <f t="shared" ref="N132:N195" si="34">-_xlfn.NORM.S.INV(1-$P$1)*J132</f>
        <v>3.1515316852332904</v>
      </c>
      <c r="O132" s="95">
        <f t="shared" ref="O132:O195" si="35">-_xlfn.NORM.S.INV(1-$R$1)*J132</f>
        <v>4.4572714044488757</v>
      </c>
      <c r="P132" s="95">
        <f t="shared" ref="P132:P195" si="36">_xlfn.NORM.S.DIST(_xlfn.NORM.S.INV(1-$P$1),FALSE)/(1-$P$1)*J132</f>
        <v>3.9521478774037861</v>
      </c>
      <c r="Q132" s="95">
        <f t="shared" ref="Q132:Q195" si="37">_xlfn.NORM.S.DIST(_xlfn.NORM.S.INV(1-$R$1),FALSE)/(1-$R$1)*J132</f>
        <v>5.1065377038573168</v>
      </c>
      <c r="R132" s="96">
        <f t="shared" si="28"/>
        <v>0</v>
      </c>
      <c r="S132" s="96">
        <f t="shared" si="29"/>
        <v>0</v>
      </c>
      <c r="Z132" s="61">
        <f t="shared" ref="Z132:Z195" si="38">-N132</f>
        <v>-3.1515316852332904</v>
      </c>
      <c r="AA132" s="61">
        <f t="shared" ref="AA132:AA195" si="39">-O132</f>
        <v>-4.4572714044488757</v>
      </c>
    </row>
    <row r="133" spans="2:27" ht="17" x14ac:dyDescent="0.2">
      <c r="B133" s="99" t="str">
        <f>'1.RETURNS'!A134</f>
        <v>03-Jul-2023</v>
      </c>
      <c r="C133" s="226">
        <f>'1.RETURNS'!D134</f>
        <v>-4.5681634958848793E-3</v>
      </c>
      <c r="D133" s="125">
        <f t="shared" si="30"/>
        <v>1.978518081118329E-2</v>
      </c>
      <c r="E133" s="235">
        <f t="shared" si="31"/>
        <v>0.31408000842502903</v>
      </c>
      <c r="F133" s="90" t="str">
        <f t="shared" ref="F133:F196" si="40">IF(E133="—","",IF(E133&gt;=0.25,"■ HIGH VOLATILITY",IF(E133&gt;=0.17,"▲ ELEVATED","")))</f>
        <v>■ HIGH VOLATILITY</v>
      </c>
      <c r="G133" s="61">
        <f t="shared" ref="G133:G196" si="41">C133^2</f>
        <v>2.0868117725135163E-5</v>
      </c>
      <c r="I133" s="61">
        <f t="shared" ref="I133:I196" si="42">$I$1+$K$1*G132+$M$1*I132</f>
        <v>3.1520472028251129E-4</v>
      </c>
      <c r="J133" s="61">
        <f t="shared" si="32"/>
        <v>1.7754005753139523</v>
      </c>
      <c r="K133" s="61">
        <f t="shared" si="33"/>
        <v>28.183610398810309</v>
      </c>
      <c r="L133" s="225">
        <f t="shared" ref="L133:L196" si="43">K133/100</f>
        <v>0.2818361039881031</v>
      </c>
      <c r="N133" s="95">
        <f t="shared" si="34"/>
        <v>2.9202740755968839</v>
      </c>
      <c r="O133" s="95">
        <f t="shared" si="35"/>
        <v>4.1301993539524986</v>
      </c>
      <c r="P133" s="95">
        <f t="shared" si="36"/>
        <v>3.6621415051561463</v>
      </c>
      <c r="Q133" s="95">
        <f t="shared" si="37"/>
        <v>4.7318228601368704</v>
      </c>
      <c r="R133" s="96">
        <f t="shared" ref="R133:R196" si="44">IF(C133*100&lt;-N133,1,0)</f>
        <v>0</v>
      </c>
      <c r="S133" s="96">
        <f t="shared" ref="S133:S196" si="45">IF(C133*100&lt;-O133,1,0)</f>
        <v>0</v>
      </c>
      <c r="Z133" s="61">
        <f t="shared" si="38"/>
        <v>-2.9202740755968839</v>
      </c>
      <c r="AA133" s="61">
        <f t="shared" si="39"/>
        <v>-4.1301993539524986</v>
      </c>
    </row>
    <row r="134" spans="2:27" ht="17" x14ac:dyDescent="0.2">
      <c r="B134" s="104" t="str">
        <f>'1.RETURNS'!A135</f>
        <v>04-Jul-2023</v>
      </c>
      <c r="C134" s="226">
        <f>'1.RETURNS'!D135</f>
        <v>-1.5928011929515543E-2</v>
      </c>
      <c r="D134" s="127">
        <f t="shared" si="30"/>
        <v>1.9734374087201845E-2</v>
      </c>
      <c r="E134" s="235">
        <f t="shared" si="31"/>
        <v>0.31327347668552019</v>
      </c>
      <c r="F134" s="90" t="str">
        <f t="shared" si="40"/>
        <v>■ HIGH VOLATILITY</v>
      </c>
      <c r="G134" s="61">
        <f t="shared" si="41"/>
        <v>2.5370156402678947E-4</v>
      </c>
      <c r="I134" s="61">
        <f t="shared" si="42"/>
        <v>2.7301082401264812E-4</v>
      </c>
      <c r="J134" s="61">
        <f t="shared" si="32"/>
        <v>1.6523039188135098</v>
      </c>
      <c r="K134" s="61">
        <f t="shared" si="33"/>
        <v>26.229511556868026</v>
      </c>
      <c r="L134" s="225">
        <f t="shared" si="43"/>
        <v>0.26229511556868024</v>
      </c>
      <c r="N134" s="95">
        <f t="shared" si="34"/>
        <v>2.7177980936865311</v>
      </c>
      <c r="O134" s="95">
        <f t="shared" si="35"/>
        <v>3.8438337088011583</v>
      </c>
      <c r="P134" s="95">
        <f t="shared" si="36"/>
        <v>3.4082284552313409</v>
      </c>
      <c r="Q134" s="95">
        <f t="shared" si="37"/>
        <v>4.4037439007548684</v>
      </c>
      <c r="R134" s="96">
        <f t="shared" si="44"/>
        <v>0</v>
      </c>
      <c r="S134" s="96">
        <f t="shared" si="45"/>
        <v>0</v>
      </c>
      <c r="Z134" s="61">
        <f t="shared" si="38"/>
        <v>-2.7177980936865311</v>
      </c>
      <c r="AA134" s="61">
        <f t="shared" si="39"/>
        <v>-3.8438337088011583</v>
      </c>
    </row>
    <row r="135" spans="2:27" ht="17" x14ac:dyDescent="0.2">
      <c r="B135" s="99" t="str">
        <f>'1.RETURNS'!A136</f>
        <v>05-Jul-2023</v>
      </c>
      <c r="C135" s="226">
        <f>'1.RETURNS'!D136</f>
        <v>1.015892302001534E-3</v>
      </c>
      <c r="D135" s="125">
        <f t="shared" si="30"/>
        <v>1.9746426106394134E-2</v>
      </c>
      <c r="E135" s="235">
        <f t="shared" si="31"/>
        <v>0.31346479655899406</v>
      </c>
      <c r="F135" s="90" t="str">
        <f t="shared" si="40"/>
        <v>■ HIGH VOLATILITY</v>
      </c>
      <c r="G135" s="61">
        <f t="shared" si="41"/>
        <v>1.032037169265976E-6</v>
      </c>
      <c r="I135" s="61">
        <f t="shared" si="42"/>
        <v>2.6042935681342983E-4</v>
      </c>
      <c r="J135" s="61">
        <f t="shared" si="32"/>
        <v>1.6137823794224233</v>
      </c>
      <c r="K135" s="61">
        <f t="shared" si="33"/>
        <v>25.618001076778867</v>
      </c>
      <c r="L135" s="225">
        <f t="shared" si="43"/>
        <v>0.25618001076778868</v>
      </c>
      <c r="N135" s="95">
        <f t="shared" si="34"/>
        <v>2.6544357999033488</v>
      </c>
      <c r="O135" s="95">
        <f t="shared" si="35"/>
        <v>3.7542192075339238</v>
      </c>
      <c r="P135" s="95">
        <f t="shared" si="36"/>
        <v>3.3287695825644446</v>
      </c>
      <c r="Q135" s="95">
        <f t="shared" si="37"/>
        <v>4.3010757461801337</v>
      </c>
      <c r="R135" s="96">
        <f t="shared" si="44"/>
        <v>0</v>
      </c>
      <c r="S135" s="96">
        <f t="shared" si="45"/>
        <v>0</v>
      </c>
      <c r="Z135" s="61">
        <f t="shared" si="38"/>
        <v>-2.6544357999033488</v>
      </c>
      <c r="AA135" s="61">
        <f t="shared" si="39"/>
        <v>-3.7542192075339238</v>
      </c>
    </row>
    <row r="136" spans="2:27" ht="17" x14ac:dyDescent="0.2">
      <c r="B136" s="104" t="str">
        <f>'1.RETURNS'!A137</f>
        <v>06-Jul-2023</v>
      </c>
      <c r="C136" s="226">
        <f>'1.RETURNS'!D137</f>
        <v>-9.9700023085799415E-3</v>
      </c>
      <c r="D136" s="127">
        <f t="shared" si="30"/>
        <v>1.9761860139121387E-2</v>
      </c>
      <c r="E136" s="235">
        <f t="shared" si="31"/>
        <v>0.31370980423293293</v>
      </c>
      <c r="F136" s="90" t="str">
        <f t="shared" si="40"/>
        <v>■ HIGH VOLATILITY</v>
      </c>
      <c r="G136" s="61">
        <f t="shared" si="41"/>
        <v>9.9400946033089367E-5</v>
      </c>
      <c r="I136" s="61">
        <f t="shared" si="42"/>
        <v>2.2446815700834195E-4</v>
      </c>
      <c r="J136" s="61">
        <f t="shared" si="32"/>
        <v>1.4982261411694229</v>
      </c>
      <c r="K136" s="61">
        <f t="shared" si="33"/>
        <v>23.783602663621458</v>
      </c>
      <c r="L136" s="225">
        <f t="shared" si="43"/>
        <v>0.23783602663621459</v>
      </c>
      <c r="N136" s="95">
        <f t="shared" si="34"/>
        <v>2.4643627022960328</v>
      </c>
      <c r="O136" s="95">
        <f t="shared" si="35"/>
        <v>3.4853951983418994</v>
      </c>
      <c r="P136" s="95">
        <f t="shared" si="36"/>
        <v>3.0904102499326012</v>
      </c>
      <c r="Q136" s="95">
        <f t="shared" si="37"/>
        <v>3.9930936167385687</v>
      </c>
      <c r="R136" s="96">
        <f t="shared" si="44"/>
        <v>0</v>
      </c>
      <c r="S136" s="96">
        <f t="shared" si="45"/>
        <v>0</v>
      </c>
      <c r="Z136" s="61">
        <f t="shared" si="38"/>
        <v>-2.4643627022960328</v>
      </c>
      <c r="AA136" s="61">
        <f t="shared" si="39"/>
        <v>-3.4853951983418994</v>
      </c>
    </row>
    <row r="137" spans="2:27" ht="17" x14ac:dyDescent="0.2">
      <c r="B137" s="99" t="str">
        <f>'1.RETURNS'!A138</f>
        <v>07-Jul-2023</v>
      </c>
      <c r="C137" s="226">
        <f>'1.RETURNS'!D138</f>
        <v>5.1332977773813331E-3</v>
      </c>
      <c r="D137" s="125">
        <f t="shared" si="30"/>
        <v>1.884311232208365E-2</v>
      </c>
      <c r="E137" s="235">
        <f t="shared" si="31"/>
        <v>0.29912513478414099</v>
      </c>
      <c r="F137" s="90" t="str">
        <f t="shared" si="40"/>
        <v>■ HIGH VOLATILITY</v>
      </c>
      <c r="G137" s="61">
        <f t="shared" si="41"/>
        <v>2.6350746071268133E-5</v>
      </c>
      <c r="I137" s="61">
        <f t="shared" si="42"/>
        <v>2.0373802806039959E-4</v>
      </c>
      <c r="J137" s="61">
        <f t="shared" si="32"/>
        <v>1.4273683058706312</v>
      </c>
      <c r="K137" s="61">
        <f t="shared" si="33"/>
        <v>22.658769399775597</v>
      </c>
      <c r="L137" s="225">
        <f t="shared" si="43"/>
        <v>0.22658769399775597</v>
      </c>
      <c r="N137" s="95">
        <f t="shared" si="34"/>
        <v>2.3478119349068853</v>
      </c>
      <c r="O137" s="95">
        <f t="shared" si="35"/>
        <v>3.3205552238354197</v>
      </c>
      <c r="P137" s="95">
        <f t="shared" si="36"/>
        <v>2.9442508855495313</v>
      </c>
      <c r="Q137" s="95">
        <f t="shared" si="37"/>
        <v>3.8042423064773079</v>
      </c>
      <c r="R137" s="96">
        <f t="shared" si="44"/>
        <v>0</v>
      </c>
      <c r="S137" s="96">
        <f t="shared" si="45"/>
        <v>0</v>
      </c>
      <c r="Z137" s="61">
        <f t="shared" si="38"/>
        <v>-2.3478119349068853</v>
      </c>
      <c r="AA137" s="61">
        <f t="shared" si="39"/>
        <v>-3.3205552238354197</v>
      </c>
    </row>
    <row r="138" spans="2:27" ht="17" x14ac:dyDescent="0.2">
      <c r="B138" s="104" t="str">
        <f>'1.RETURNS'!A139</f>
        <v>10-Jul-2023</v>
      </c>
      <c r="C138" s="226">
        <f>'1.RETURNS'!D139</f>
        <v>-9.0315511850697257E-3</v>
      </c>
      <c r="D138" s="127">
        <f t="shared" si="30"/>
        <v>1.8847859984764778E-2</v>
      </c>
      <c r="E138" s="235">
        <f t="shared" si="31"/>
        <v>0.29920050159271949</v>
      </c>
      <c r="F138" s="90" t="str">
        <f t="shared" si="40"/>
        <v>■ HIGH VOLATILITY</v>
      </c>
      <c r="G138" s="61">
        <f t="shared" si="41"/>
        <v>8.1568916808534366E-5</v>
      </c>
      <c r="I138" s="61">
        <f t="shared" si="42"/>
        <v>1.7881239845846645E-4</v>
      </c>
      <c r="J138" s="61">
        <f t="shared" si="32"/>
        <v>1.3372075323541459</v>
      </c>
      <c r="K138" s="61">
        <f t="shared" si="33"/>
        <v>21.227511491348565</v>
      </c>
      <c r="L138" s="225">
        <f t="shared" si="43"/>
        <v>0.21227511491348566</v>
      </c>
      <c r="N138" s="95">
        <f t="shared" si="34"/>
        <v>2.1995106595795439</v>
      </c>
      <c r="O138" s="95">
        <f t="shared" si="35"/>
        <v>3.1108099000434661</v>
      </c>
      <c r="P138" s="95">
        <f t="shared" si="36"/>
        <v>2.7582751032823007</v>
      </c>
      <c r="Q138" s="95">
        <f t="shared" si="37"/>
        <v>3.563944530783794</v>
      </c>
      <c r="R138" s="96">
        <f t="shared" si="44"/>
        <v>0</v>
      </c>
      <c r="S138" s="96">
        <f t="shared" si="45"/>
        <v>0</v>
      </c>
      <c r="Z138" s="61">
        <f t="shared" si="38"/>
        <v>-2.1995106595795439</v>
      </c>
      <c r="AA138" s="61">
        <f t="shared" si="39"/>
        <v>-3.1108099000434661</v>
      </c>
    </row>
    <row r="139" spans="2:27" ht="17" x14ac:dyDescent="0.2">
      <c r="B139" s="99" t="str">
        <f>'1.RETURNS'!A140</f>
        <v>11-Jul-2023</v>
      </c>
      <c r="C139" s="226">
        <f>'1.RETURNS'!D140</f>
        <v>1.6084779384150327E-2</v>
      </c>
      <c r="D139" s="125">
        <f t="shared" si="30"/>
        <v>1.9373160339382117E-2</v>
      </c>
      <c r="E139" s="235">
        <f t="shared" si="31"/>
        <v>0.3075393862043086</v>
      </c>
      <c r="F139" s="90" t="str">
        <f t="shared" si="40"/>
        <v>■ HIGH VOLATILITY</v>
      </c>
      <c r="G139" s="61">
        <f t="shared" si="41"/>
        <v>2.5872012783678737E-4</v>
      </c>
      <c r="I139" s="61">
        <f t="shared" si="42"/>
        <v>1.6314743037054992E-4</v>
      </c>
      <c r="J139" s="61">
        <f t="shared" si="32"/>
        <v>1.2772917848735656</v>
      </c>
      <c r="K139" s="61">
        <f t="shared" si="33"/>
        <v>20.276378486647605</v>
      </c>
      <c r="L139" s="225">
        <f t="shared" si="43"/>
        <v>0.20276378486647606</v>
      </c>
      <c r="N139" s="95">
        <f t="shared" si="34"/>
        <v>2.1009580250246032</v>
      </c>
      <c r="O139" s="95">
        <f t="shared" si="35"/>
        <v>2.9714250282704504</v>
      </c>
      <c r="P139" s="95">
        <f t="shared" si="36"/>
        <v>2.634686123582727</v>
      </c>
      <c r="Q139" s="95">
        <f t="shared" si="37"/>
        <v>3.4042562285759028</v>
      </c>
      <c r="R139" s="96">
        <f t="shared" si="44"/>
        <v>0</v>
      </c>
      <c r="S139" s="96">
        <f t="shared" si="45"/>
        <v>0</v>
      </c>
      <c r="Z139" s="61">
        <f t="shared" si="38"/>
        <v>-2.1009580250246032</v>
      </c>
      <c r="AA139" s="61">
        <f t="shared" si="39"/>
        <v>-2.9714250282704504</v>
      </c>
    </row>
    <row r="140" spans="2:27" ht="17" x14ac:dyDescent="0.2">
      <c r="B140" s="104" t="str">
        <f>'1.RETURNS'!A141</f>
        <v>12-Jul-2023</v>
      </c>
      <c r="C140" s="226">
        <f>'1.RETURNS'!D141</f>
        <v>-8.4447868357665351E-3</v>
      </c>
      <c r="D140" s="127">
        <f t="shared" si="30"/>
        <v>1.9353857651794554E-2</v>
      </c>
      <c r="E140" s="235">
        <f t="shared" si="31"/>
        <v>0.30723296553835744</v>
      </c>
      <c r="F140" s="90" t="str">
        <f t="shared" si="40"/>
        <v>■ HIGH VOLATILITY</v>
      </c>
      <c r="G140" s="61">
        <f t="shared" si="41"/>
        <v>7.1314424701535769E-5</v>
      </c>
      <c r="I140" s="61">
        <f t="shared" si="42"/>
        <v>1.6754732859864616E-4</v>
      </c>
      <c r="J140" s="61">
        <f t="shared" si="32"/>
        <v>1.2944007439685985</v>
      </c>
      <c r="K140" s="61">
        <f t="shared" si="33"/>
        <v>20.547974792387407</v>
      </c>
      <c r="L140" s="225">
        <f t="shared" si="43"/>
        <v>0.20547974792387408</v>
      </c>
      <c r="N140" s="95">
        <f t="shared" si="34"/>
        <v>2.1290997584454323</v>
      </c>
      <c r="O140" s="95">
        <f t="shared" si="35"/>
        <v>3.0112264188882318</v>
      </c>
      <c r="P140" s="95">
        <f t="shared" si="36"/>
        <v>2.6699769926311716</v>
      </c>
      <c r="Q140" s="95">
        <f t="shared" si="37"/>
        <v>3.4498552696512994</v>
      </c>
      <c r="R140" s="96">
        <f t="shared" si="44"/>
        <v>0</v>
      </c>
      <c r="S140" s="96">
        <f t="shared" si="45"/>
        <v>0</v>
      </c>
      <c r="Z140" s="61">
        <f t="shared" si="38"/>
        <v>-2.1290997584454323</v>
      </c>
      <c r="AA140" s="61">
        <f t="shared" si="39"/>
        <v>-3.0112264188882318</v>
      </c>
    </row>
    <row r="141" spans="2:27" ht="17" x14ac:dyDescent="0.2">
      <c r="B141" s="99" t="str">
        <f>'1.RETURNS'!A142</f>
        <v>13-Jul-2023</v>
      </c>
      <c r="C141" s="226">
        <f>'1.RETURNS'!D142</f>
        <v>-3.0163517560566969E-3</v>
      </c>
      <c r="D141" s="125">
        <f t="shared" si="30"/>
        <v>1.8907809639278239E-2</v>
      </c>
      <c r="E141" s="235">
        <f t="shared" si="31"/>
        <v>0.30015217285488066</v>
      </c>
      <c r="F141" s="90" t="str">
        <f t="shared" si="40"/>
        <v>■ HIGH VOLATILITY</v>
      </c>
      <c r="G141" s="61">
        <f t="shared" si="41"/>
        <v>9.0983779162663181E-6</v>
      </c>
      <c r="I141" s="61">
        <f t="shared" si="42"/>
        <v>1.525466717790028E-4</v>
      </c>
      <c r="J141" s="61">
        <f t="shared" si="32"/>
        <v>1.235097857576487</v>
      </c>
      <c r="K141" s="61">
        <f t="shared" si="33"/>
        <v>19.606570655856345</v>
      </c>
      <c r="L141" s="225">
        <f t="shared" si="43"/>
        <v>0.19606570655856345</v>
      </c>
      <c r="N141" s="95">
        <f t="shared" si="34"/>
        <v>2.0315551906746769</v>
      </c>
      <c r="O141" s="95">
        <f t="shared" si="35"/>
        <v>2.8732672752054578</v>
      </c>
      <c r="P141" s="95">
        <f t="shared" si="36"/>
        <v>2.5476521693480056</v>
      </c>
      <c r="Q141" s="95">
        <f t="shared" si="37"/>
        <v>3.2918003735314918</v>
      </c>
      <c r="R141" s="96">
        <f t="shared" si="44"/>
        <v>0</v>
      </c>
      <c r="S141" s="96">
        <f t="shared" si="45"/>
        <v>0</v>
      </c>
      <c r="Z141" s="61">
        <f t="shared" si="38"/>
        <v>-2.0315551906746769</v>
      </c>
      <c r="AA141" s="61">
        <f t="shared" si="39"/>
        <v>-2.8732672752054578</v>
      </c>
    </row>
    <row r="142" spans="2:27" ht="17" x14ac:dyDescent="0.2">
      <c r="B142" s="104" t="str">
        <f>'1.RETURNS'!A143</f>
        <v>14-Jul-2023</v>
      </c>
      <c r="C142" s="226">
        <f>'1.RETURNS'!D143</f>
        <v>8.4197785514903232E-3</v>
      </c>
      <c r="D142" s="127">
        <f t="shared" si="30"/>
        <v>1.772612343843372E-2</v>
      </c>
      <c r="E142" s="235">
        <f t="shared" si="31"/>
        <v>0.28139348596397273</v>
      </c>
      <c r="F142" s="90" t="str">
        <f t="shared" si="40"/>
        <v>■ HIGH VOLATILITY</v>
      </c>
      <c r="G142" s="61">
        <f t="shared" si="41"/>
        <v>7.0892670856136482E-5</v>
      </c>
      <c r="I142" s="61">
        <f t="shared" si="42"/>
        <v>1.3357450880377899E-4</v>
      </c>
      <c r="J142" s="61">
        <f t="shared" si="32"/>
        <v>1.1557443869808715</v>
      </c>
      <c r="K142" s="61">
        <f t="shared" si="33"/>
        <v>18.346873362661093</v>
      </c>
      <c r="L142" s="225">
        <f t="shared" si="43"/>
        <v>0.18346873362661092</v>
      </c>
      <c r="N142" s="95">
        <f t="shared" si="34"/>
        <v>1.9010303467542915</v>
      </c>
      <c r="O142" s="95">
        <f t="shared" si="35"/>
        <v>2.6886634975875849</v>
      </c>
      <c r="P142" s="95">
        <f t="shared" si="36"/>
        <v>2.3839687492302652</v>
      </c>
      <c r="Q142" s="95">
        <f t="shared" si="37"/>
        <v>3.0803063752662645</v>
      </c>
      <c r="R142" s="96">
        <f t="shared" si="44"/>
        <v>0</v>
      </c>
      <c r="S142" s="96">
        <f t="shared" si="45"/>
        <v>0</v>
      </c>
      <c r="Z142" s="61">
        <f t="shared" si="38"/>
        <v>-1.9010303467542915</v>
      </c>
      <c r="AA142" s="61">
        <f t="shared" si="39"/>
        <v>-2.6886634975875849</v>
      </c>
    </row>
    <row r="143" spans="2:27" ht="17" x14ac:dyDescent="0.2">
      <c r="B143" s="99" t="str">
        <f>'1.RETURNS'!A144</f>
        <v>17-Jul-2023</v>
      </c>
      <c r="C143" s="226">
        <f>'1.RETURNS'!D144</f>
        <v>-1.2981594129055977E-2</v>
      </c>
      <c r="D143" s="125">
        <f t="shared" si="30"/>
        <v>1.7516159296321911E-2</v>
      </c>
      <c r="E143" s="235">
        <f t="shared" si="31"/>
        <v>0.2780604085383595</v>
      </c>
      <c r="F143" s="90" t="str">
        <f t="shared" si="40"/>
        <v>■ HIGH VOLATILITY</v>
      </c>
      <c r="G143" s="61">
        <f t="shared" si="41"/>
        <v>1.685217861315406E-4</v>
      </c>
      <c r="I143" s="61">
        <f t="shared" si="42"/>
        <v>1.2362759956882578E-4</v>
      </c>
      <c r="J143" s="61">
        <f t="shared" si="32"/>
        <v>1.1118794879339478</v>
      </c>
      <c r="K143" s="61">
        <f t="shared" si="33"/>
        <v>17.65053967768241</v>
      </c>
      <c r="L143" s="225">
        <f t="shared" si="43"/>
        <v>0.17650539677682409</v>
      </c>
      <c r="N143" s="95">
        <f t="shared" si="34"/>
        <v>1.8288790084610989</v>
      </c>
      <c r="O143" s="95">
        <f t="shared" si="35"/>
        <v>2.586618482944758</v>
      </c>
      <c r="P143" s="95">
        <f t="shared" si="36"/>
        <v>2.2934880601661551</v>
      </c>
      <c r="Q143" s="95">
        <f t="shared" si="37"/>
        <v>2.9633970225523703</v>
      </c>
      <c r="R143" s="96">
        <f t="shared" si="44"/>
        <v>0</v>
      </c>
      <c r="S143" s="96">
        <f t="shared" si="45"/>
        <v>0</v>
      </c>
      <c r="Z143" s="61">
        <f t="shared" si="38"/>
        <v>-1.8288790084610989</v>
      </c>
      <c r="AA143" s="61">
        <f t="shared" si="39"/>
        <v>-2.586618482944758</v>
      </c>
    </row>
    <row r="144" spans="2:27" ht="17" x14ac:dyDescent="0.2">
      <c r="B144" s="104" t="str">
        <f>'1.RETURNS'!A145</f>
        <v>18-Jul-2023</v>
      </c>
      <c r="C144" s="226">
        <f>'1.RETURNS'!D145</f>
        <v>2.7942688732837777E-3</v>
      </c>
      <c r="D144" s="127">
        <f t="shared" si="30"/>
        <v>1.7013436248625228E-2</v>
      </c>
      <c r="E144" s="235">
        <f t="shared" si="31"/>
        <v>0.27007992756308419</v>
      </c>
      <c r="F144" s="90" t="str">
        <f t="shared" si="40"/>
        <v>■ HIGH VOLATILITY</v>
      </c>
      <c r="G144" s="61">
        <f t="shared" si="41"/>
        <v>7.8079385362025919E-6</v>
      </c>
      <c r="I144" s="61">
        <f t="shared" si="42"/>
        <v>1.2493563824665597E-4</v>
      </c>
      <c r="J144" s="61">
        <f t="shared" si="32"/>
        <v>1.1177461171780287</v>
      </c>
      <c r="K144" s="61">
        <f t="shared" si="33"/>
        <v>17.743669529766752</v>
      </c>
      <c r="L144" s="225">
        <f t="shared" si="43"/>
        <v>0.17743669529766751</v>
      </c>
      <c r="N144" s="95">
        <f t="shared" si="34"/>
        <v>1.838528754851205</v>
      </c>
      <c r="O144" s="95">
        <f t="shared" si="35"/>
        <v>2.6002663034145117</v>
      </c>
      <c r="P144" s="95">
        <f t="shared" si="36"/>
        <v>2.3055892314448188</v>
      </c>
      <c r="Q144" s="95">
        <f t="shared" si="37"/>
        <v>2.9790328462391917</v>
      </c>
      <c r="R144" s="96">
        <f t="shared" si="44"/>
        <v>0</v>
      </c>
      <c r="S144" s="96">
        <f t="shared" si="45"/>
        <v>0</v>
      </c>
      <c r="Z144" s="61">
        <f t="shared" si="38"/>
        <v>-1.838528754851205</v>
      </c>
      <c r="AA144" s="61">
        <f t="shared" si="39"/>
        <v>-2.6002663034145117</v>
      </c>
    </row>
    <row r="145" spans="2:27" ht="17" x14ac:dyDescent="0.2">
      <c r="B145" s="99" t="str">
        <f>'1.RETURNS'!A146</f>
        <v>19-Jul-2023</v>
      </c>
      <c r="C145" s="226">
        <f>'1.RETURNS'!D146</f>
        <v>1.3702071856800254E-2</v>
      </c>
      <c r="D145" s="125">
        <f t="shared" si="30"/>
        <v>1.7123148934207563E-2</v>
      </c>
      <c r="E145" s="235">
        <f t="shared" si="31"/>
        <v>0.27182156245340344</v>
      </c>
      <c r="F145" s="90" t="str">
        <f t="shared" si="40"/>
        <v>■ HIGH VOLATILITY</v>
      </c>
      <c r="G145" s="61">
        <f t="shared" si="41"/>
        <v>1.8774677316891756E-4</v>
      </c>
      <c r="I145" s="61">
        <f t="shared" si="42"/>
        <v>1.0997608636327784E-4</v>
      </c>
      <c r="J145" s="61">
        <f t="shared" si="32"/>
        <v>1.0486948381835293</v>
      </c>
      <c r="K145" s="61">
        <f t="shared" si="33"/>
        <v>16.64751445818445</v>
      </c>
      <c r="L145" s="225">
        <f t="shared" si="43"/>
        <v>0.16647514458184451</v>
      </c>
      <c r="N145" s="95">
        <f t="shared" si="34"/>
        <v>1.7249495081514647</v>
      </c>
      <c r="O145" s="95">
        <f t="shared" si="35"/>
        <v>2.4396290073258569</v>
      </c>
      <c r="P145" s="95">
        <f t="shared" si="36"/>
        <v>2.1631562738880961</v>
      </c>
      <c r="Q145" s="95">
        <f t="shared" si="37"/>
        <v>2.7949963955299859</v>
      </c>
      <c r="R145" s="96">
        <f t="shared" si="44"/>
        <v>0</v>
      </c>
      <c r="S145" s="96">
        <f t="shared" si="45"/>
        <v>0</v>
      </c>
      <c r="Z145" s="61">
        <f t="shared" si="38"/>
        <v>-1.7249495081514647</v>
      </c>
      <c r="AA145" s="61">
        <f t="shared" si="39"/>
        <v>-2.4396290073258569</v>
      </c>
    </row>
    <row r="146" spans="2:27" ht="17" x14ac:dyDescent="0.2">
      <c r="B146" s="104" t="str">
        <f>'1.RETURNS'!A147</f>
        <v>20-Jul-2023</v>
      </c>
      <c r="C146" s="226">
        <f>'1.RETURNS'!D147</f>
        <v>-1.7515600523816316E-2</v>
      </c>
      <c r="D146" s="127">
        <f t="shared" si="30"/>
        <v>1.4643780341491089E-2</v>
      </c>
      <c r="E146" s="128">
        <f t="shared" si="31"/>
        <v>0.23246280622465157</v>
      </c>
      <c r="F146" s="90" t="str">
        <f t="shared" si="40"/>
        <v>▲ ELEVATED</v>
      </c>
      <c r="G146" s="61">
        <f t="shared" si="41"/>
        <v>3.067962617099144E-4</v>
      </c>
      <c r="I146" s="61">
        <f t="shared" si="42"/>
        <v>1.1525435072567793E-4</v>
      </c>
      <c r="J146" s="61">
        <f t="shared" si="32"/>
        <v>1.0735657908376084</v>
      </c>
      <c r="K146" s="61">
        <f t="shared" si="33"/>
        <v>17.04232859173618</v>
      </c>
      <c r="L146" s="225">
        <f t="shared" si="43"/>
        <v>0.17042328591736181</v>
      </c>
      <c r="N146" s="95">
        <f t="shared" si="34"/>
        <v>1.765858584830265</v>
      </c>
      <c r="O146" s="95">
        <f t="shared" si="35"/>
        <v>2.4974874951580444</v>
      </c>
      <c r="P146" s="95">
        <f t="shared" si="36"/>
        <v>2.214457906462576</v>
      </c>
      <c r="Q146" s="95">
        <f t="shared" si="37"/>
        <v>2.8612828122171847</v>
      </c>
      <c r="R146" s="96">
        <f t="shared" si="44"/>
        <v>0</v>
      </c>
      <c r="S146" s="96">
        <f t="shared" si="45"/>
        <v>0</v>
      </c>
      <c r="Z146" s="61">
        <f t="shared" si="38"/>
        <v>-1.765858584830265</v>
      </c>
      <c r="AA146" s="61">
        <f t="shared" si="39"/>
        <v>-2.4974874951580444</v>
      </c>
    </row>
    <row r="147" spans="2:27" ht="17" x14ac:dyDescent="0.2">
      <c r="B147" s="99" t="str">
        <f>'1.RETURNS'!A148</f>
        <v>21-Jul-2023</v>
      </c>
      <c r="C147" s="226">
        <f>'1.RETURNS'!D148</f>
        <v>2.3623423158293739E-3</v>
      </c>
      <c r="D147" s="125">
        <f t="shared" si="30"/>
        <v>1.376868048284597E-2</v>
      </c>
      <c r="E147" s="126">
        <f t="shared" si="31"/>
        <v>0.218571026634715</v>
      </c>
      <c r="F147" s="90" t="str">
        <f t="shared" si="40"/>
        <v>▲ ELEVATED</v>
      </c>
      <c r="G147" s="61">
        <f t="shared" si="41"/>
        <v>5.5806612171580894E-6</v>
      </c>
      <c r="I147" s="61">
        <f t="shared" si="42"/>
        <v>1.3164582428781769E-4</v>
      </c>
      <c r="J147" s="61">
        <f t="shared" si="32"/>
        <v>1.1473701420545057</v>
      </c>
      <c r="K147" s="61">
        <f t="shared" si="33"/>
        <v>18.213936345702447</v>
      </c>
      <c r="L147" s="225">
        <f t="shared" si="43"/>
        <v>0.18213936345702447</v>
      </c>
      <c r="N147" s="95">
        <f t="shared" si="34"/>
        <v>1.8872559396141788</v>
      </c>
      <c r="O147" s="95">
        <f t="shared" si="35"/>
        <v>2.6691820907064367</v>
      </c>
      <c r="P147" s="95">
        <f t="shared" si="36"/>
        <v>2.3666950869674466</v>
      </c>
      <c r="Q147" s="95">
        <f t="shared" si="37"/>
        <v>3.0579872186038557</v>
      </c>
      <c r="R147" s="96">
        <f t="shared" si="44"/>
        <v>0</v>
      </c>
      <c r="S147" s="96">
        <f t="shared" si="45"/>
        <v>0</v>
      </c>
      <c r="Z147" s="61">
        <f t="shared" si="38"/>
        <v>-1.8872559396141788</v>
      </c>
      <c r="AA147" s="61">
        <f t="shared" si="39"/>
        <v>-2.6691820907064367</v>
      </c>
    </row>
    <row r="148" spans="2:27" ht="17" x14ac:dyDescent="0.2">
      <c r="B148" s="104" t="str">
        <f>'1.RETURNS'!A149</f>
        <v>24-Jul-2023</v>
      </c>
      <c r="C148" s="226">
        <f>'1.RETURNS'!D149</f>
        <v>2.9029463961687293E-3</v>
      </c>
      <c r="D148" s="127">
        <f t="shared" si="30"/>
        <v>1.3232513739690017E-2</v>
      </c>
      <c r="E148" s="128">
        <f t="shared" si="31"/>
        <v>0.21005964345279043</v>
      </c>
      <c r="F148" s="90" t="str">
        <f t="shared" si="40"/>
        <v>▲ ELEVATED</v>
      </c>
      <c r="G148" s="61">
        <f t="shared" si="41"/>
        <v>8.4270977790290133E-6</v>
      </c>
      <c r="I148" s="61">
        <f t="shared" si="42"/>
        <v>1.1545701676636084E-4</v>
      </c>
      <c r="J148" s="61">
        <f t="shared" si="32"/>
        <v>1.0745092683004684</v>
      </c>
      <c r="K148" s="61">
        <f t="shared" si="33"/>
        <v>17.057305832142109</v>
      </c>
      <c r="L148" s="225">
        <f t="shared" si="43"/>
        <v>0.17057305832142108</v>
      </c>
      <c r="N148" s="95">
        <f t="shared" si="34"/>
        <v>1.7674104671569975</v>
      </c>
      <c r="O148" s="95">
        <f t="shared" si="35"/>
        <v>2.4996823519479743</v>
      </c>
      <c r="P148" s="95">
        <f t="shared" si="36"/>
        <v>2.2164040295088117</v>
      </c>
      <c r="Q148" s="95">
        <f t="shared" si="37"/>
        <v>2.8637973817677751</v>
      </c>
      <c r="R148" s="96">
        <f t="shared" si="44"/>
        <v>0</v>
      </c>
      <c r="S148" s="96">
        <f t="shared" si="45"/>
        <v>0</v>
      </c>
      <c r="Z148" s="61">
        <f t="shared" si="38"/>
        <v>-1.7674104671569975</v>
      </c>
      <c r="AA148" s="61">
        <f t="shared" si="39"/>
        <v>-2.4996823519479743</v>
      </c>
    </row>
    <row r="149" spans="2:27" ht="17" x14ac:dyDescent="0.2">
      <c r="B149" s="99" t="str">
        <f>'1.RETURNS'!A150</f>
        <v>25-Jul-2023</v>
      </c>
      <c r="C149" s="226">
        <f>'1.RETURNS'!D150</f>
        <v>7.7931994314828406E-3</v>
      </c>
      <c r="D149" s="125">
        <f t="shared" si="30"/>
        <v>1.1578918060667747E-2</v>
      </c>
      <c r="E149" s="126">
        <f t="shared" si="31"/>
        <v>0.18380962583832697</v>
      </c>
      <c r="F149" s="90" t="str">
        <f t="shared" si="40"/>
        <v>▲ ELEVATED</v>
      </c>
      <c r="G149" s="61">
        <f t="shared" si="41"/>
        <v>6.0733957378864468E-5</v>
      </c>
      <c r="I149" s="61">
        <f t="shared" si="42"/>
        <v>1.0198117402930961E-4</v>
      </c>
      <c r="J149" s="61">
        <f t="shared" si="32"/>
        <v>1.0098572870921396</v>
      </c>
      <c r="K149" s="61">
        <f t="shared" si="33"/>
        <v>16.030987447872956</v>
      </c>
      <c r="L149" s="225">
        <f t="shared" si="43"/>
        <v>0.16030987447872957</v>
      </c>
      <c r="N149" s="95">
        <f t="shared" si="34"/>
        <v>1.6610674213768792</v>
      </c>
      <c r="O149" s="95">
        <f t="shared" si="35"/>
        <v>2.34927935291145</v>
      </c>
      <c r="P149" s="95">
        <f t="shared" si="36"/>
        <v>2.0830455598396624</v>
      </c>
      <c r="Q149" s="95">
        <f t="shared" si="37"/>
        <v>2.6914860020778075</v>
      </c>
      <c r="R149" s="96">
        <f t="shared" si="44"/>
        <v>0</v>
      </c>
      <c r="S149" s="96">
        <f t="shared" si="45"/>
        <v>0</v>
      </c>
      <c r="Z149" s="61">
        <f t="shared" si="38"/>
        <v>-1.6610674213768792</v>
      </c>
      <c r="AA149" s="61">
        <f t="shared" si="39"/>
        <v>-2.34927935291145</v>
      </c>
    </row>
    <row r="150" spans="2:27" ht="17" x14ac:dyDescent="0.2">
      <c r="B150" s="104" t="str">
        <f>'1.RETURNS'!A151</f>
        <v>26-Jul-2023</v>
      </c>
      <c r="C150" s="226">
        <f>'1.RETURNS'!D151</f>
        <v>-1.3201105988443892E-2</v>
      </c>
      <c r="D150" s="127">
        <f t="shared" si="30"/>
        <v>9.6636631768404462E-3</v>
      </c>
      <c r="E150" s="128">
        <f t="shared" si="31"/>
        <v>0.15340589711887331</v>
      </c>
      <c r="F150" s="90" t="str">
        <f t="shared" si="40"/>
        <v/>
      </c>
      <c r="G150" s="61">
        <f t="shared" si="41"/>
        <v>1.742691993181292E-4</v>
      </c>
      <c r="I150" s="61">
        <f t="shared" si="42"/>
        <v>9.5757393662799608E-5</v>
      </c>
      <c r="J150" s="61">
        <f t="shared" si="32"/>
        <v>0.9785570686618108</v>
      </c>
      <c r="K150" s="61">
        <f t="shared" si="33"/>
        <v>15.534111884181051</v>
      </c>
      <c r="L150" s="225">
        <f t="shared" si="43"/>
        <v>0.15534111884181051</v>
      </c>
      <c r="N150" s="95">
        <f t="shared" si="34"/>
        <v>1.6095831435673797</v>
      </c>
      <c r="O150" s="95">
        <f t="shared" si="35"/>
        <v>2.2764641563090406</v>
      </c>
      <c r="P150" s="95">
        <f t="shared" si="36"/>
        <v>2.0184821984056431</v>
      </c>
      <c r="Q150" s="95">
        <f t="shared" si="37"/>
        <v>2.6080642148173654</v>
      </c>
      <c r="R150" s="96">
        <f t="shared" si="44"/>
        <v>0</v>
      </c>
      <c r="S150" s="96">
        <f t="shared" si="45"/>
        <v>0</v>
      </c>
      <c r="Z150" s="61">
        <f t="shared" si="38"/>
        <v>-1.6095831435673797</v>
      </c>
      <c r="AA150" s="61">
        <f t="shared" si="39"/>
        <v>-2.2764641563090406</v>
      </c>
    </row>
    <row r="151" spans="2:27" ht="17" x14ac:dyDescent="0.2">
      <c r="B151" s="99" t="str">
        <f>'1.RETURNS'!A152</f>
        <v>27-Jul-2023</v>
      </c>
      <c r="C151" s="226">
        <f>'1.RETURNS'!D152</f>
        <v>-1.3822363950257089E-2</v>
      </c>
      <c r="D151" s="125">
        <f t="shared" ref="D151:D214" si="46">STDEV(C132:C151)</f>
        <v>9.9873498282970694E-3</v>
      </c>
      <c r="E151" s="126">
        <f t="shared" ref="E151:E214" si="47">D151*SQRT(252)</f>
        <v>0.15854426341366612</v>
      </c>
      <c r="F151" s="90" t="str">
        <f t="shared" si="40"/>
        <v/>
      </c>
      <c r="G151" s="61">
        <f t="shared" si="41"/>
        <v>1.9105774517336676E-4</v>
      </c>
      <c r="I151" s="61">
        <f t="shared" si="42"/>
        <v>1.0182070454519258E-4</v>
      </c>
      <c r="J151" s="61">
        <f t="shared" si="32"/>
        <v>1.0090624586475934</v>
      </c>
      <c r="K151" s="61">
        <f t="shared" si="33"/>
        <v>16.018369937477576</v>
      </c>
      <c r="L151" s="225">
        <f t="shared" si="43"/>
        <v>0.16018369937477575</v>
      </c>
      <c r="N151" s="95">
        <f t="shared" si="34"/>
        <v>1.6597600449270633</v>
      </c>
      <c r="O151" s="95">
        <f t="shared" si="35"/>
        <v>2.3474303054492527</v>
      </c>
      <c r="P151" s="95">
        <f t="shared" si="36"/>
        <v>2.0814060570273258</v>
      </c>
      <c r="Q151" s="95">
        <f t="shared" si="37"/>
        <v>2.6893676140046674</v>
      </c>
      <c r="R151" s="96">
        <f t="shared" si="44"/>
        <v>0</v>
      </c>
      <c r="S151" s="96">
        <f t="shared" si="45"/>
        <v>0</v>
      </c>
      <c r="Z151" s="61">
        <f t="shared" si="38"/>
        <v>-1.6597600449270633</v>
      </c>
      <c r="AA151" s="61">
        <f t="shared" si="39"/>
        <v>-2.3474303054492527</v>
      </c>
    </row>
    <row r="152" spans="2:27" ht="17" x14ac:dyDescent="0.2">
      <c r="B152" s="104" t="str">
        <f>'1.RETURNS'!A153</f>
        <v>28-Jul-2023</v>
      </c>
      <c r="C152" s="226">
        <f>'1.RETURNS'!D153</f>
        <v>6.3102846376867569E-3</v>
      </c>
      <c r="D152" s="127">
        <f t="shared" si="46"/>
        <v>1.014545308579806E-2</v>
      </c>
      <c r="E152" s="128">
        <f t="shared" si="47"/>
        <v>0.16105407481856709</v>
      </c>
      <c r="F152" s="90" t="str">
        <f t="shared" si="40"/>
        <v/>
      </c>
      <c r="G152" s="61">
        <f t="shared" si="41"/>
        <v>3.9819692208625488E-5</v>
      </c>
      <c r="I152" s="61">
        <f t="shared" si="42"/>
        <v>1.0865337338075037E-4</v>
      </c>
      <c r="J152" s="61">
        <f t="shared" si="32"/>
        <v>1.042369288595699</v>
      </c>
      <c r="K152" s="61">
        <f t="shared" si="33"/>
        <v>16.547099471493212</v>
      </c>
      <c r="L152" s="225">
        <f t="shared" si="43"/>
        <v>0.16547099471493212</v>
      </c>
      <c r="N152" s="95">
        <f t="shared" si="34"/>
        <v>1.7145449049694605</v>
      </c>
      <c r="O152" s="95">
        <f t="shared" si="35"/>
        <v>2.4249135784900679</v>
      </c>
      <c r="P152" s="95">
        <f t="shared" si="36"/>
        <v>2.150108481738755</v>
      </c>
      <c r="Q152" s="95">
        <f t="shared" si="37"/>
        <v>2.778137450816998</v>
      </c>
      <c r="R152" s="96">
        <f t="shared" si="44"/>
        <v>0</v>
      </c>
      <c r="S152" s="96">
        <f t="shared" si="45"/>
        <v>0</v>
      </c>
      <c r="Z152" s="61">
        <f t="shared" si="38"/>
        <v>-1.7145449049694605</v>
      </c>
      <c r="AA152" s="61">
        <f t="shared" si="39"/>
        <v>-2.4249135784900679</v>
      </c>
    </row>
    <row r="153" spans="2:27" ht="17" x14ac:dyDescent="0.2">
      <c r="B153" s="99" t="str">
        <f>'1.RETURNS'!A154</f>
        <v>31-Jul-2023</v>
      </c>
      <c r="C153" s="226">
        <f>'1.RETURNS'!D154</f>
        <v>3.1997341907610043E-3</v>
      </c>
      <c r="D153" s="125">
        <f t="shared" si="46"/>
        <v>1.01944823493145E-2</v>
      </c>
      <c r="E153" s="126">
        <f t="shared" si="47"/>
        <v>0.16183239024794202</v>
      </c>
      <c r="F153" s="90" t="str">
        <f t="shared" si="40"/>
        <v/>
      </c>
      <c r="G153" s="61">
        <f t="shared" si="41"/>
        <v>1.0238298891524979E-5</v>
      </c>
      <c r="I153" s="61">
        <f t="shared" si="42"/>
        <v>9.9337336594500361E-5</v>
      </c>
      <c r="J153" s="61">
        <f t="shared" si="32"/>
        <v>0.99668117567505188</v>
      </c>
      <c r="K153" s="61">
        <f t="shared" si="33"/>
        <v>15.821823163533997</v>
      </c>
      <c r="L153" s="225">
        <f t="shared" si="43"/>
        <v>0.15821823163533996</v>
      </c>
      <c r="N153" s="95">
        <f t="shared" si="34"/>
        <v>1.6393946467233658</v>
      </c>
      <c r="O153" s="95">
        <f t="shared" si="35"/>
        <v>2.3186271341281826</v>
      </c>
      <c r="P153" s="95">
        <f t="shared" si="36"/>
        <v>2.0558670260664909</v>
      </c>
      <c r="Q153" s="95">
        <f t="shared" si="37"/>
        <v>2.6563688425601244</v>
      </c>
      <c r="R153" s="96">
        <f t="shared" si="44"/>
        <v>0</v>
      </c>
      <c r="S153" s="96">
        <f t="shared" si="45"/>
        <v>0</v>
      </c>
      <c r="Z153" s="61">
        <f t="shared" si="38"/>
        <v>-1.6393946467233658</v>
      </c>
      <c r="AA153" s="61">
        <f t="shared" si="39"/>
        <v>-2.3186271341281826</v>
      </c>
    </row>
    <row r="154" spans="2:27" ht="17" x14ac:dyDescent="0.2">
      <c r="B154" s="104" t="str">
        <f>'1.RETURNS'!A155</f>
        <v>01-Aug-2023</v>
      </c>
      <c r="C154" s="226">
        <f>'1.RETURNS'!D155</f>
        <v>2.8365367951750844E-3</v>
      </c>
      <c r="D154" s="127">
        <f t="shared" si="46"/>
        <v>9.6668780538510628E-3</v>
      </c>
      <c r="E154" s="128">
        <f t="shared" si="47"/>
        <v>0.1534569317092678</v>
      </c>
      <c r="F154" s="90" t="str">
        <f t="shared" si="40"/>
        <v/>
      </c>
      <c r="G154" s="61">
        <f t="shared" si="41"/>
        <v>8.0459409903821382E-6</v>
      </c>
      <c r="I154" s="61">
        <f t="shared" si="42"/>
        <v>8.8460565994477811E-5</v>
      </c>
      <c r="J154" s="61">
        <f t="shared" si="32"/>
        <v>0.94053477338415203</v>
      </c>
      <c r="K154" s="61">
        <f t="shared" si="33"/>
        <v>14.930526658697747</v>
      </c>
      <c r="L154" s="225">
        <f t="shared" si="43"/>
        <v>0.14930526658697749</v>
      </c>
      <c r="N154" s="95">
        <f t="shared" si="34"/>
        <v>1.5470420332749029</v>
      </c>
      <c r="O154" s="95">
        <f t="shared" si="35"/>
        <v>2.1880110705237059</v>
      </c>
      <c r="P154" s="95">
        <f t="shared" si="36"/>
        <v>1.9400531229655871</v>
      </c>
      <c r="Q154" s="95">
        <f t="shared" si="37"/>
        <v>2.5067266527531618</v>
      </c>
      <c r="R154" s="96">
        <f t="shared" si="44"/>
        <v>0</v>
      </c>
      <c r="S154" s="96">
        <f t="shared" si="45"/>
        <v>0</v>
      </c>
      <c r="Z154" s="61">
        <f t="shared" si="38"/>
        <v>-1.5470420332749029</v>
      </c>
      <c r="AA154" s="61">
        <f t="shared" si="39"/>
        <v>-2.1880110705237059</v>
      </c>
    </row>
    <row r="155" spans="2:27" ht="17" x14ac:dyDescent="0.2">
      <c r="B155" s="99" t="str">
        <f>'1.RETURNS'!A156</f>
        <v>02-Aug-2023</v>
      </c>
      <c r="C155" s="226">
        <f>'1.RETURNS'!D156</f>
        <v>3.6961856275960067E-3</v>
      </c>
      <c r="D155" s="125">
        <f t="shared" si="46"/>
        <v>9.7114361881314084E-3</v>
      </c>
      <c r="E155" s="126">
        <f t="shared" si="47"/>
        <v>0.15416427016241271</v>
      </c>
      <c r="F155" s="90" t="str">
        <f t="shared" si="40"/>
        <v/>
      </c>
      <c r="G155" s="61">
        <f t="shared" si="41"/>
        <v>1.3661788193647286E-5</v>
      </c>
      <c r="I155" s="61">
        <f t="shared" si="42"/>
        <v>7.899607519434435E-5</v>
      </c>
      <c r="J155" s="61">
        <f t="shared" si="32"/>
        <v>0.88879736270054466</v>
      </c>
      <c r="K155" s="61">
        <f t="shared" si="33"/>
        <v>14.1092207258143</v>
      </c>
      <c r="L155" s="225">
        <f t="shared" si="43"/>
        <v>0.141092207258143</v>
      </c>
      <c r="N155" s="95">
        <f t="shared" si="34"/>
        <v>1.4619415656628933</v>
      </c>
      <c r="O155" s="95">
        <f t="shared" si="35"/>
        <v>2.0676518551715182</v>
      </c>
      <c r="P155" s="95">
        <f t="shared" si="36"/>
        <v>1.8333337033212385</v>
      </c>
      <c r="Q155" s="95">
        <f t="shared" si="37"/>
        <v>2.3688353700753404</v>
      </c>
      <c r="R155" s="96">
        <f t="shared" si="44"/>
        <v>0</v>
      </c>
      <c r="S155" s="96">
        <f t="shared" si="45"/>
        <v>0</v>
      </c>
      <c r="Z155" s="61">
        <f t="shared" si="38"/>
        <v>-1.4619415656628933</v>
      </c>
      <c r="AA155" s="61">
        <f t="shared" si="39"/>
        <v>-2.0676518551715182</v>
      </c>
    </row>
    <row r="156" spans="2:27" ht="17" x14ac:dyDescent="0.2">
      <c r="B156" s="104" t="str">
        <f>'1.RETURNS'!A157</f>
        <v>03-Aug-2023</v>
      </c>
      <c r="C156" s="226">
        <f>'1.RETURNS'!D157</f>
        <v>-6.8192522778982778E-3</v>
      </c>
      <c r="D156" s="127">
        <f t="shared" si="46"/>
        <v>9.5766968059364747E-3</v>
      </c>
      <c r="E156" s="128">
        <f t="shared" si="47"/>
        <v>0.15202534877984702</v>
      </c>
      <c r="F156" s="90" t="str">
        <f t="shared" si="40"/>
        <v/>
      </c>
      <c r="G156" s="61">
        <f t="shared" si="41"/>
        <v>4.6502201629620853E-5</v>
      </c>
      <c r="I156" s="61">
        <f t="shared" si="42"/>
        <v>7.151284273455742E-5</v>
      </c>
      <c r="J156" s="61">
        <f t="shared" si="32"/>
        <v>0.84565266353602542</v>
      </c>
      <c r="K156" s="61">
        <f t="shared" si="33"/>
        <v>13.424319859534215</v>
      </c>
      <c r="L156" s="225">
        <f t="shared" si="43"/>
        <v>0.13424319859534214</v>
      </c>
      <c r="N156" s="95">
        <f t="shared" si="34"/>
        <v>1.3909748507584039</v>
      </c>
      <c r="O156" s="95">
        <f t="shared" si="35"/>
        <v>1.9672822759940072</v>
      </c>
      <c r="P156" s="95">
        <f t="shared" si="36"/>
        <v>1.7443385797785296</v>
      </c>
      <c r="Q156" s="95">
        <f t="shared" si="37"/>
        <v>2.2538455043295218</v>
      </c>
      <c r="R156" s="96">
        <f t="shared" si="44"/>
        <v>0</v>
      </c>
      <c r="S156" s="96">
        <f t="shared" si="45"/>
        <v>0</v>
      </c>
      <c r="Z156" s="61">
        <f t="shared" si="38"/>
        <v>-1.3909748507584039</v>
      </c>
      <c r="AA156" s="61">
        <f t="shared" si="39"/>
        <v>-1.9672822759940072</v>
      </c>
    </row>
    <row r="157" spans="2:27" ht="17" x14ac:dyDescent="0.2">
      <c r="B157" s="99" t="str">
        <f>'1.RETURNS'!A158</f>
        <v>04-Aug-2023</v>
      </c>
      <c r="C157" s="226">
        <f>'1.RETURNS'!D158</f>
        <v>2.5812109836164374E-3</v>
      </c>
      <c r="D157" s="125">
        <f t="shared" si="46"/>
        <v>9.5147704439617741E-3</v>
      </c>
      <c r="E157" s="126">
        <f t="shared" si="47"/>
        <v>0.15104229825954288</v>
      </c>
      <c r="F157" s="90" t="str">
        <f t="shared" si="40"/>
        <v/>
      </c>
      <c r="G157" s="61">
        <f t="shared" si="41"/>
        <v>6.6626501419421362E-6</v>
      </c>
      <c r="I157" s="61">
        <f t="shared" si="42"/>
        <v>6.8436136487335885E-5</v>
      </c>
      <c r="J157" s="61">
        <f t="shared" si="32"/>
        <v>0.82726136430596031</v>
      </c>
      <c r="K157" s="61">
        <f t="shared" si="33"/>
        <v>13.132367035233459</v>
      </c>
      <c r="L157" s="225">
        <f t="shared" si="43"/>
        <v>0.13132367035233458</v>
      </c>
      <c r="N157" s="95">
        <f t="shared" si="34"/>
        <v>1.3607238555154815</v>
      </c>
      <c r="O157" s="95">
        <f t="shared" si="35"/>
        <v>1.9244977161292962</v>
      </c>
      <c r="P157" s="95">
        <f t="shared" si="36"/>
        <v>1.7064026113099728</v>
      </c>
      <c r="Q157" s="95">
        <f t="shared" si="37"/>
        <v>2.2048287520909176</v>
      </c>
      <c r="R157" s="96">
        <f t="shared" si="44"/>
        <v>0</v>
      </c>
      <c r="S157" s="96">
        <f t="shared" si="45"/>
        <v>0</v>
      </c>
      <c r="Z157" s="61">
        <f t="shared" si="38"/>
        <v>-1.3607238555154815</v>
      </c>
      <c r="AA157" s="61">
        <f t="shared" si="39"/>
        <v>-1.9244977161292962</v>
      </c>
    </row>
    <row r="158" spans="2:27" ht="17" x14ac:dyDescent="0.2">
      <c r="B158" s="104" t="str">
        <f>'1.RETURNS'!A159</f>
        <v>07-Aug-2023</v>
      </c>
      <c r="C158" s="226">
        <f>'1.RETURNS'!D159</f>
        <v>3.1661016930860314E-3</v>
      </c>
      <c r="D158" s="127">
        <f t="shared" si="46"/>
        <v>9.3356184827500088E-3</v>
      </c>
      <c r="E158" s="128">
        <f t="shared" si="47"/>
        <v>0.14819834904200796</v>
      </c>
      <c r="F158" s="90" t="str">
        <f t="shared" si="40"/>
        <v/>
      </c>
      <c r="G158" s="61">
        <f t="shared" si="41"/>
        <v>1.0024199930962235E-5</v>
      </c>
      <c r="I158" s="61">
        <f t="shared" si="42"/>
        <v>6.1836981028429711E-5</v>
      </c>
      <c r="J158" s="61">
        <f t="shared" si="32"/>
        <v>0.7863649345464846</v>
      </c>
      <c r="K158" s="61">
        <f t="shared" si="33"/>
        <v>12.483156339309495</v>
      </c>
      <c r="L158" s="225">
        <f t="shared" si="43"/>
        <v>0.12483156339309495</v>
      </c>
      <c r="N158" s="95">
        <f t="shared" si="34"/>
        <v>1.2934552146962417</v>
      </c>
      <c r="O158" s="95">
        <f t="shared" si="35"/>
        <v>1.8293583937024793</v>
      </c>
      <c r="P158" s="95">
        <f t="shared" si="36"/>
        <v>1.6220450218637743</v>
      </c>
      <c r="Q158" s="95">
        <f t="shared" si="37"/>
        <v>2.0958310059345897</v>
      </c>
      <c r="R158" s="96">
        <f t="shared" si="44"/>
        <v>0</v>
      </c>
      <c r="S158" s="96">
        <f t="shared" si="45"/>
        <v>0</v>
      </c>
      <c r="Z158" s="61">
        <f t="shared" si="38"/>
        <v>-1.2934552146962417</v>
      </c>
      <c r="AA158" s="61">
        <f t="shared" si="39"/>
        <v>-1.8293583937024793</v>
      </c>
    </row>
    <row r="159" spans="2:27" ht="17" x14ac:dyDescent="0.2">
      <c r="B159" s="99" t="str">
        <f>'1.RETURNS'!A160</f>
        <v>08-Aug-2023</v>
      </c>
      <c r="C159" s="226">
        <f>'1.RETURNS'!D160</f>
        <v>-7.1162197669271295E-3</v>
      </c>
      <c r="D159" s="125">
        <f t="shared" si="46"/>
        <v>8.6482126939073992E-3</v>
      </c>
      <c r="E159" s="126">
        <f t="shared" si="47"/>
        <v>0.13728612043962563</v>
      </c>
      <c r="F159" s="90" t="str">
        <f t="shared" si="40"/>
        <v/>
      </c>
      <c r="G159" s="61">
        <f t="shared" si="41"/>
        <v>5.0640583771204407E-5</v>
      </c>
      <c r="I159" s="61">
        <f t="shared" si="42"/>
        <v>5.6563853867261477E-5</v>
      </c>
      <c r="J159" s="61">
        <f t="shared" si="32"/>
        <v>0.75208944858481741</v>
      </c>
      <c r="K159" s="61">
        <f t="shared" si="33"/>
        <v>11.939049867786755</v>
      </c>
      <c r="L159" s="225">
        <f t="shared" si="43"/>
        <v>0.11939049867786755</v>
      </c>
      <c r="N159" s="95">
        <f t="shared" si="34"/>
        <v>1.2370770572966692</v>
      </c>
      <c r="O159" s="95">
        <f t="shared" si="35"/>
        <v>1.7496216898038381</v>
      </c>
      <c r="P159" s="95">
        <f t="shared" si="36"/>
        <v>1.5513445379871025</v>
      </c>
      <c r="Q159" s="95">
        <f t="shared" si="37"/>
        <v>2.0044794933402912</v>
      </c>
      <c r="R159" s="96">
        <f t="shared" si="44"/>
        <v>0</v>
      </c>
      <c r="S159" s="96">
        <f t="shared" si="45"/>
        <v>0</v>
      </c>
      <c r="Z159" s="61">
        <f t="shared" si="38"/>
        <v>-1.2370770572966692</v>
      </c>
      <c r="AA159" s="61">
        <f t="shared" si="39"/>
        <v>-1.7496216898038381</v>
      </c>
    </row>
    <row r="160" spans="2:27" ht="17" x14ac:dyDescent="0.2">
      <c r="B160" s="104" t="str">
        <f>'1.RETURNS'!A161</f>
        <v>09-Aug-2023</v>
      </c>
      <c r="C160" s="226">
        <f>'1.RETURNS'!D161</f>
        <v>1.9665399871236153E-2</v>
      </c>
      <c r="D160" s="127">
        <f t="shared" si="46"/>
        <v>9.6300705047972172E-3</v>
      </c>
      <c r="E160" s="128">
        <f t="shared" si="47"/>
        <v>0.15287262998227008</v>
      </c>
      <c r="F160" s="90" t="str">
        <f t="shared" si="40"/>
        <v/>
      </c>
      <c r="G160" s="61">
        <f t="shared" si="41"/>
        <v>3.8672795209561487E-4</v>
      </c>
      <c r="I160" s="61">
        <f t="shared" si="42"/>
        <v>5.6143334164292694E-5</v>
      </c>
      <c r="J160" s="61">
        <f t="shared" si="32"/>
        <v>0.74928855699451791</v>
      </c>
      <c r="K160" s="61">
        <f t="shared" si="33"/>
        <v>11.894587092203647</v>
      </c>
      <c r="L160" s="225">
        <f t="shared" si="43"/>
        <v>0.11894587092203647</v>
      </c>
      <c r="N160" s="95">
        <f t="shared" si="34"/>
        <v>1.2324700006056672</v>
      </c>
      <c r="O160" s="95">
        <f t="shared" si="35"/>
        <v>1.7431058416073262</v>
      </c>
      <c r="P160" s="95">
        <f t="shared" si="36"/>
        <v>1.5455671030313518</v>
      </c>
      <c r="Q160" s="95">
        <f t="shared" si="37"/>
        <v>1.997014517244178</v>
      </c>
      <c r="R160" s="96">
        <f t="shared" si="44"/>
        <v>0</v>
      </c>
      <c r="S160" s="96">
        <f t="shared" si="45"/>
        <v>0</v>
      </c>
      <c r="Z160" s="61">
        <f t="shared" si="38"/>
        <v>-1.2324700006056672</v>
      </c>
      <c r="AA160" s="61">
        <f t="shared" si="39"/>
        <v>-1.7431058416073262</v>
      </c>
    </row>
    <row r="161" spans="2:27" ht="17" x14ac:dyDescent="0.2">
      <c r="B161" s="99" t="str">
        <f>'1.RETURNS'!A162</f>
        <v>10-Aug-2023</v>
      </c>
      <c r="C161" s="226">
        <f>'1.RETURNS'!D162</f>
        <v>5.9337145637730513E-3</v>
      </c>
      <c r="D161" s="125">
        <f t="shared" si="46"/>
        <v>9.6782318043300772E-3</v>
      </c>
      <c r="E161" s="126">
        <f t="shared" si="47"/>
        <v>0.15363716691055992</v>
      </c>
      <c r="F161" s="90" t="str">
        <f t="shared" si="40"/>
        <v/>
      </c>
      <c r="G161" s="61">
        <f t="shared" si="41"/>
        <v>3.5208968524332416E-5</v>
      </c>
      <c r="I161" s="61">
        <f t="shared" si="42"/>
        <v>8.9394629249210265E-5</v>
      </c>
      <c r="J161" s="61">
        <f t="shared" si="32"/>
        <v>0.94548733068830837</v>
      </c>
      <c r="K161" s="61">
        <f t="shared" si="33"/>
        <v>15.009146068581313</v>
      </c>
      <c r="L161" s="225">
        <f t="shared" si="43"/>
        <v>0.15009146068581314</v>
      </c>
      <c r="N161" s="95">
        <f t="shared" si="34"/>
        <v>1.5551882651193294</v>
      </c>
      <c r="O161" s="95">
        <f t="shared" si="35"/>
        <v>2.1995324416792954</v>
      </c>
      <c r="P161" s="95">
        <f t="shared" si="36"/>
        <v>1.9502688263467849</v>
      </c>
      <c r="Q161" s="95">
        <f t="shared" si="37"/>
        <v>2.5199262789072767</v>
      </c>
      <c r="R161" s="96">
        <f t="shared" si="44"/>
        <v>0</v>
      </c>
      <c r="S161" s="96">
        <f t="shared" si="45"/>
        <v>0</v>
      </c>
      <c r="Z161" s="61">
        <f t="shared" si="38"/>
        <v>-1.5551882651193294</v>
      </c>
      <c r="AA161" s="61">
        <f t="shared" si="39"/>
        <v>-2.1995324416792954</v>
      </c>
    </row>
    <row r="162" spans="2:27" ht="17" x14ac:dyDescent="0.2">
      <c r="B162" s="104" t="str">
        <f>'1.RETURNS'!A163</f>
        <v>11-Aug-2023</v>
      </c>
      <c r="C162" s="226">
        <f>'1.RETURNS'!D163</f>
        <v>-1.2143211157002474E-2</v>
      </c>
      <c r="D162" s="127">
        <f t="shared" si="46"/>
        <v>9.9040570885257431E-3</v>
      </c>
      <c r="E162" s="128">
        <f t="shared" si="47"/>
        <v>0.15722203216095323</v>
      </c>
      <c r="F162" s="90" t="str">
        <f t="shared" si="40"/>
        <v/>
      </c>
      <c r="G162" s="61">
        <f t="shared" si="41"/>
        <v>1.4745757720354937E-4</v>
      </c>
      <c r="I162" s="61">
        <f t="shared" si="42"/>
        <v>8.2506331714261974E-5</v>
      </c>
      <c r="J162" s="61">
        <f t="shared" si="32"/>
        <v>0.90832996050037884</v>
      </c>
      <c r="K162" s="61">
        <f t="shared" si="33"/>
        <v>14.419291103238752</v>
      </c>
      <c r="L162" s="225">
        <f t="shared" si="43"/>
        <v>0.14419291103238752</v>
      </c>
      <c r="N162" s="95">
        <f t="shared" si="34"/>
        <v>1.4940698299977351</v>
      </c>
      <c r="O162" s="95">
        <f t="shared" si="35"/>
        <v>2.1130914725376573</v>
      </c>
      <c r="P162" s="95">
        <f t="shared" si="36"/>
        <v>1.8736238429668479</v>
      </c>
      <c r="Q162" s="95">
        <f t="shared" si="37"/>
        <v>2.4208939274917536</v>
      </c>
      <c r="R162" s="96">
        <f t="shared" si="44"/>
        <v>0</v>
      </c>
      <c r="S162" s="96">
        <f t="shared" si="45"/>
        <v>0</v>
      </c>
      <c r="Z162" s="61">
        <f t="shared" si="38"/>
        <v>-1.4940698299977351</v>
      </c>
      <c r="AA162" s="61">
        <f t="shared" si="39"/>
        <v>-2.1130914725376573</v>
      </c>
    </row>
    <row r="163" spans="2:27" ht="17" x14ac:dyDescent="0.2">
      <c r="B163" s="99" t="str">
        <f>'1.RETURNS'!A164</f>
        <v>14-Aug-2023</v>
      </c>
      <c r="C163" s="226">
        <f>'1.RETURNS'!D164</f>
        <v>7.4404194366253593E-3</v>
      </c>
      <c r="D163" s="125">
        <f t="shared" si="46"/>
        <v>9.5787409312608866E-3</v>
      </c>
      <c r="E163" s="126">
        <f t="shared" si="47"/>
        <v>0.1520577982633893</v>
      </c>
      <c r="F163" s="90" t="str">
        <f t="shared" si="40"/>
        <v/>
      </c>
      <c r="G163" s="61">
        <f t="shared" si="41"/>
        <v>5.5359841392912432E-5</v>
      </c>
      <c r="I163" s="61">
        <f t="shared" si="42"/>
        <v>8.7876139677477616E-5</v>
      </c>
      <c r="J163" s="61">
        <f t="shared" si="32"/>
        <v>0.93742274176316853</v>
      </c>
      <c r="K163" s="61">
        <f t="shared" si="33"/>
        <v>14.881124688249999</v>
      </c>
      <c r="L163" s="225">
        <f t="shared" si="43"/>
        <v>0.1488112468825</v>
      </c>
      <c r="N163" s="95">
        <f t="shared" si="34"/>
        <v>1.5419231967759404</v>
      </c>
      <c r="O163" s="95">
        <f t="shared" si="35"/>
        <v>2.1807714023782832</v>
      </c>
      <c r="P163" s="95">
        <f t="shared" si="36"/>
        <v>1.9336338954836163</v>
      </c>
      <c r="Q163" s="95">
        <f t="shared" si="37"/>
        <v>2.4984324218227507</v>
      </c>
      <c r="R163" s="96">
        <f t="shared" si="44"/>
        <v>0</v>
      </c>
      <c r="S163" s="96">
        <f t="shared" si="45"/>
        <v>0</v>
      </c>
      <c r="Z163" s="61">
        <f t="shared" si="38"/>
        <v>-1.5419231967759404</v>
      </c>
      <c r="AA163" s="61">
        <f t="shared" si="39"/>
        <v>-2.1807714023782832</v>
      </c>
    </row>
    <row r="164" spans="2:27" ht="17" x14ac:dyDescent="0.2">
      <c r="B164" s="104" t="str">
        <f>'1.RETURNS'!A165</f>
        <v>15-Aug-2023</v>
      </c>
      <c r="C164" s="226">
        <f>'1.RETURNS'!D165</f>
        <v>-1.0005212590329307E-2</v>
      </c>
      <c r="D164" s="127">
        <f t="shared" si="46"/>
        <v>9.8542507464126662E-3</v>
      </c>
      <c r="E164" s="128">
        <f t="shared" si="47"/>
        <v>0.1564313809912832</v>
      </c>
      <c r="F164" s="90" t="str">
        <f t="shared" si="40"/>
        <v/>
      </c>
      <c r="G164" s="61">
        <f t="shared" si="41"/>
        <v>1.001042789776841E-4</v>
      </c>
      <c r="I164" s="61">
        <f t="shared" si="42"/>
        <v>8.3230702865147216E-5</v>
      </c>
      <c r="J164" s="61">
        <f t="shared" si="32"/>
        <v>0.91230862576842497</v>
      </c>
      <c r="K164" s="61">
        <f t="shared" si="33"/>
        <v>14.482450456334073</v>
      </c>
      <c r="L164" s="225">
        <f t="shared" si="43"/>
        <v>0.14482450456334073</v>
      </c>
      <c r="N164" s="95">
        <f t="shared" si="34"/>
        <v>1.5006141519943066</v>
      </c>
      <c r="O164" s="95">
        <f t="shared" si="35"/>
        <v>2.1223472320254966</v>
      </c>
      <c r="P164" s="95">
        <f t="shared" si="36"/>
        <v>1.8818306867720316</v>
      </c>
      <c r="Q164" s="95">
        <f t="shared" si="37"/>
        <v>2.4314979227421465</v>
      </c>
      <c r="R164" s="96">
        <f t="shared" si="44"/>
        <v>0</v>
      </c>
      <c r="S164" s="96">
        <f t="shared" si="45"/>
        <v>0</v>
      </c>
      <c r="Z164" s="61">
        <f t="shared" si="38"/>
        <v>-1.5006141519943066</v>
      </c>
      <c r="AA164" s="61">
        <f t="shared" si="39"/>
        <v>-2.1223472320254966</v>
      </c>
    </row>
    <row r="165" spans="2:27" ht="17" x14ac:dyDescent="0.2">
      <c r="B165" s="99" t="str">
        <f>'1.RETURNS'!A166</f>
        <v>16-Aug-2023</v>
      </c>
      <c r="C165" s="226">
        <f>'1.RETURNS'!D166</f>
        <v>8.7610172370882478E-3</v>
      </c>
      <c r="D165" s="125">
        <f t="shared" si="46"/>
        <v>9.5512047633473443E-3</v>
      </c>
      <c r="E165" s="126">
        <f t="shared" si="47"/>
        <v>0.15162067514923561</v>
      </c>
      <c r="F165" s="90" t="str">
        <f t="shared" si="40"/>
        <v/>
      </c>
      <c r="G165" s="61">
        <f t="shared" si="41"/>
        <v>7.6755423028557394E-5</v>
      </c>
      <c r="I165" s="61">
        <f t="shared" si="42"/>
        <v>8.3756525333143539E-5</v>
      </c>
      <c r="J165" s="61">
        <f t="shared" si="32"/>
        <v>0.91518591189519261</v>
      </c>
      <c r="K165" s="61">
        <f t="shared" si="33"/>
        <v>14.528125957587292</v>
      </c>
      <c r="L165" s="225">
        <f t="shared" si="43"/>
        <v>0.14528125957587293</v>
      </c>
      <c r="N165" s="95">
        <f t="shared" si="34"/>
        <v>1.5053468665156975</v>
      </c>
      <c r="O165" s="95">
        <f t="shared" si="35"/>
        <v>2.1290408004895096</v>
      </c>
      <c r="P165" s="95">
        <f t="shared" si="36"/>
        <v>1.8877657017165788</v>
      </c>
      <c r="Q165" s="95">
        <f t="shared" si="37"/>
        <v>2.4391665066432111</v>
      </c>
      <c r="R165" s="96">
        <f t="shared" si="44"/>
        <v>0</v>
      </c>
      <c r="S165" s="96">
        <f t="shared" si="45"/>
        <v>0</v>
      </c>
      <c r="Z165" s="61">
        <f t="shared" si="38"/>
        <v>-1.5053468665156975</v>
      </c>
      <c r="AA165" s="61">
        <f t="shared" si="39"/>
        <v>-2.1290408004895096</v>
      </c>
    </row>
    <row r="166" spans="2:27" ht="17" x14ac:dyDescent="0.2">
      <c r="B166" s="104" t="str">
        <f>'1.RETURNS'!A167</f>
        <v>17-Aug-2023</v>
      </c>
      <c r="C166" s="226">
        <f>'1.RETURNS'!D167</f>
        <v>1.2933761188865233E-2</v>
      </c>
      <c r="D166" s="127">
        <f t="shared" si="46"/>
        <v>9.0597800060612348E-3</v>
      </c>
      <c r="E166" s="128">
        <f t="shared" si="47"/>
        <v>0.14381954897395965</v>
      </c>
      <c r="F166" s="90" t="str">
        <f t="shared" si="40"/>
        <v/>
      </c>
      <c r="G166" s="61">
        <f t="shared" si="41"/>
        <v>1.6728217849059659E-4</v>
      </c>
      <c r="I166" s="61">
        <f t="shared" si="42"/>
        <v>8.1868588836027744E-5</v>
      </c>
      <c r="J166" s="61">
        <f t="shared" si="32"/>
        <v>0.90481262610569124</v>
      </c>
      <c r="K166" s="61">
        <f t="shared" si="33"/>
        <v>14.363455150721567</v>
      </c>
      <c r="L166" s="225">
        <f t="shared" si="43"/>
        <v>0.14363455150721566</v>
      </c>
      <c r="N166" s="95">
        <f t="shared" si="34"/>
        <v>1.4882843297614319</v>
      </c>
      <c r="O166" s="95">
        <f t="shared" si="35"/>
        <v>2.1049089291462848</v>
      </c>
      <c r="P166" s="95">
        <f t="shared" si="36"/>
        <v>1.8663685922626394</v>
      </c>
      <c r="Q166" s="95">
        <f t="shared" si="37"/>
        <v>2.4115194778453208</v>
      </c>
      <c r="R166" s="96">
        <f t="shared" si="44"/>
        <v>0</v>
      </c>
      <c r="S166" s="96">
        <f t="shared" si="45"/>
        <v>0</v>
      </c>
      <c r="Z166" s="61">
        <f t="shared" si="38"/>
        <v>-1.4882843297614319</v>
      </c>
      <c r="AA166" s="61">
        <f t="shared" si="39"/>
        <v>-2.1049089291462848</v>
      </c>
    </row>
    <row r="167" spans="2:27" ht="17" x14ac:dyDescent="0.2">
      <c r="B167" s="99" t="str">
        <f>'1.RETURNS'!A168</f>
        <v>18-Aug-2023</v>
      </c>
      <c r="C167" s="226">
        <f>'1.RETURNS'!D168</f>
        <v>-8.4920110384975305E-3</v>
      </c>
      <c r="D167" s="125">
        <f t="shared" si="46"/>
        <v>9.3157840962212399E-3</v>
      </c>
      <c r="E167" s="126">
        <f t="shared" si="47"/>
        <v>0.14788348791703204</v>
      </c>
      <c r="F167" s="90" t="str">
        <f t="shared" si="40"/>
        <v/>
      </c>
      <c r="G167" s="61">
        <f t="shared" si="41"/>
        <v>7.2114251477963908E-5</v>
      </c>
      <c r="I167" s="61">
        <f t="shared" si="42"/>
        <v>8.9316518359683244E-5</v>
      </c>
      <c r="J167" s="61">
        <f t="shared" si="32"/>
        <v>0.94507416830470636</v>
      </c>
      <c r="K167" s="61">
        <f t="shared" si="33"/>
        <v>15.002587319072727</v>
      </c>
      <c r="L167" s="225">
        <f t="shared" si="43"/>
        <v>0.15002587319072727</v>
      </c>
      <c r="N167" s="95">
        <f t="shared" si="34"/>
        <v>1.5545086734741418</v>
      </c>
      <c r="O167" s="95">
        <f t="shared" si="35"/>
        <v>2.1985712822465695</v>
      </c>
      <c r="P167" s="95">
        <f t="shared" si="36"/>
        <v>1.9494165910065486</v>
      </c>
      <c r="Q167" s="95">
        <f t="shared" si="37"/>
        <v>2.518825112647189</v>
      </c>
      <c r="R167" s="96">
        <f t="shared" si="44"/>
        <v>0</v>
      </c>
      <c r="S167" s="96">
        <f t="shared" si="45"/>
        <v>0</v>
      </c>
      <c r="Z167" s="61">
        <f t="shared" si="38"/>
        <v>-1.5545086734741418</v>
      </c>
      <c r="AA167" s="61">
        <f t="shared" si="39"/>
        <v>-2.1985712822465695</v>
      </c>
    </row>
    <row r="168" spans="2:27" ht="17" x14ac:dyDescent="0.2">
      <c r="B168" s="104" t="str">
        <f>'1.RETURNS'!A169</f>
        <v>21-Aug-2023</v>
      </c>
      <c r="C168" s="226">
        <f>'1.RETURNS'!D169</f>
        <v>1.023044981412048E-2</v>
      </c>
      <c r="D168" s="127">
        <f t="shared" si="46"/>
        <v>9.5448989719379203E-3</v>
      </c>
      <c r="E168" s="128">
        <f t="shared" si="47"/>
        <v>0.15152057381390291</v>
      </c>
      <c r="F168" s="90" t="str">
        <f t="shared" si="40"/>
        <v/>
      </c>
      <c r="G168" s="61">
        <f t="shared" si="41"/>
        <v>1.0466210339923776E-4</v>
      </c>
      <c r="I168" s="61">
        <f t="shared" si="42"/>
        <v>8.6130465753527153E-5</v>
      </c>
      <c r="J168" s="61">
        <f t="shared" si="32"/>
        <v>0.92806500717098028</v>
      </c>
      <c r="K168" s="61">
        <f t="shared" si="33"/>
        <v>14.732575256854739</v>
      </c>
      <c r="L168" s="225">
        <f t="shared" si="43"/>
        <v>0.14732575256854738</v>
      </c>
      <c r="N168" s="95">
        <f t="shared" si="34"/>
        <v>1.5265310930919302</v>
      </c>
      <c r="O168" s="95">
        <f t="shared" si="35"/>
        <v>2.1590020564039074</v>
      </c>
      <c r="P168" s="95">
        <f t="shared" si="36"/>
        <v>1.9143315764910545</v>
      </c>
      <c r="Q168" s="95">
        <f t="shared" si="37"/>
        <v>2.473492054517429</v>
      </c>
      <c r="R168" s="96">
        <f t="shared" si="44"/>
        <v>0</v>
      </c>
      <c r="S168" s="96">
        <f t="shared" si="45"/>
        <v>0</v>
      </c>
      <c r="Z168" s="61">
        <f t="shared" si="38"/>
        <v>-1.5265310930919302</v>
      </c>
      <c r="AA168" s="61">
        <f t="shared" si="39"/>
        <v>-2.1590020564039074</v>
      </c>
    </row>
    <row r="169" spans="2:27" ht="17" x14ac:dyDescent="0.2">
      <c r="B169" s="99" t="str">
        <f>'1.RETURNS'!A170</f>
        <v>22-Aug-2023</v>
      </c>
      <c r="C169" s="226">
        <f>'1.RETURNS'!D170</f>
        <v>4.8615039558976515E-3</v>
      </c>
      <c r="D169" s="125">
        <f t="shared" si="46"/>
        <v>9.4595960599946887E-3</v>
      </c>
      <c r="E169" s="126">
        <f t="shared" si="47"/>
        <v>0.15016643206723432</v>
      </c>
      <c r="F169" s="90" t="str">
        <f t="shared" si="40"/>
        <v/>
      </c>
      <c r="G169" s="61">
        <f t="shared" si="41"/>
        <v>2.3634220713208514E-5</v>
      </c>
      <c r="I169" s="61">
        <f t="shared" si="42"/>
        <v>8.6677106230421863E-5</v>
      </c>
      <c r="J169" s="61">
        <f t="shared" si="32"/>
        <v>0.93100540401450871</v>
      </c>
      <c r="K169" s="61">
        <f t="shared" si="33"/>
        <v>14.779252609677632</v>
      </c>
      <c r="L169" s="225">
        <f t="shared" si="43"/>
        <v>0.14779252609677632</v>
      </c>
      <c r="N169" s="95">
        <f t="shared" si="34"/>
        <v>1.5313676155046847</v>
      </c>
      <c r="O169" s="95">
        <f t="shared" si="35"/>
        <v>2.1658424423496863</v>
      </c>
      <c r="P169" s="95">
        <f t="shared" si="36"/>
        <v>1.9203967707193548</v>
      </c>
      <c r="Q169" s="95">
        <f t="shared" si="37"/>
        <v>2.4813288419982609</v>
      </c>
      <c r="R169" s="96">
        <f t="shared" si="44"/>
        <v>0</v>
      </c>
      <c r="S169" s="96">
        <f t="shared" si="45"/>
        <v>0</v>
      </c>
      <c r="Z169" s="61">
        <f t="shared" si="38"/>
        <v>-1.5313676155046847</v>
      </c>
      <c r="AA169" s="61">
        <f t="shared" si="39"/>
        <v>-2.1658424423496863</v>
      </c>
    </row>
    <row r="170" spans="2:27" ht="17" x14ac:dyDescent="0.2">
      <c r="B170" s="104" t="str">
        <f>'1.RETURNS'!A171</f>
        <v>23-Aug-2023</v>
      </c>
      <c r="C170" s="226">
        <f>'1.RETURNS'!D171</f>
        <v>8.8634452394520304E-3</v>
      </c>
      <c r="D170" s="127">
        <f t="shared" si="46"/>
        <v>8.9911592513316034E-3</v>
      </c>
      <c r="E170" s="128">
        <f t="shared" si="47"/>
        <v>0.14273022826320669</v>
      </c>
      <c r="F170" s="90" t="str">
        <f t="shared" si="40"/>
        <v/>
      </c>
      <c r="G170" s="61">
        <f t="shared" si="41"/>
        <v>7.8560661512764861E-5</v>
      </c>
      <c r="I170" s="61">
        <f t="shared" si="42"/>
        <v>7.9038962367179434E-5</v>
      </c>
      <c r="J170" s="61">
        <f t="shared" si="32"/>
        <v>0.88903859515309813</v>
      </c>
      <c r="K170" s="61">
        <f t="shared" si="33"/>
        <v>14.113050172279987</v>
      </c>
      <c r="L170" s="225">
        <f t="shared" si="43"/>
        <v>0.14113050172279987</v>
      </c>
      <c r="N170" s="95">
        <f t="shared" si="34"/>
        <v>1.4623383577374145</v>
      </c>
      <c r="O170" s="95">
        <f t="shared" si="35"/>
        <v>2.0682130457746655</v>
      </c>
      <c r="P170" s="95">
        <f t="shared" si="36"/>
        <v>1.8338312965907071</v>
      </c>
      <c r="Q170" s="95">
        <f t="shared" si="37"/>
        <v>2.3694783062382951</v>
      </c>
      <c r="R170" s="96">
        <f t="shared" si="44"/>
        <v>0</v>
      </c>
      <c r="S170" s="96">
        <f t="shared" si="45"/>
        <v>0</v>
      </c>
      <c r="Z170" s="61">
        <f t="shared" si="38"/>
        <v>-1.4623383577374145</v>
      </c>
      <c r="AA170" s="61">
        <f t="shared" si="39"/>
        <v>-2.0682130457746655</v>
      </c>
    </row>
    <row r="171" spans="2:27" ht="17" x14ac:dyDescent="0.2">
      <c r="B171" s="99" t="str">
        <f>'1.RETURNS'!A172</f>
        <v>24-Aug-2023</v>
      </c>
      <c r="C171" s="226">
        <f>'1.RETURNS'!D172</f>
        <v>2.0269635440790891E-2</v>
      </c>
      <c r="D171" s="125">
        <f t="shared" si="46"/>
        <v>9.0443377903360184E-3</v>
      </c>
      <c r="E171" s="126">
        <f t="shared" si="47"/>
        <v>0.14357441139895527</v>
      </c>
      <c r="F171" s="90" t="str">
        <f t="shared" si="40"/>
        <v/>
      </c>
      <c r="G171" s="61">
        <f t="shared" si="41"/>
        <v>4.1085812090256612E-4</v>
      </c>
      <c r="I171" s="61">
        <f t="shared" si="42"/>
        <v>7.8039184163379008E-5</v>
      </c>
      <c r="J171" s="61">
        <f t="shared" si="32"/>
        <v>0.88339789542073865</v>
      </c>
      <c r="K171" s="61">
        <f t="shared" si="33"/>
        <v>14.023506840006718</v>
      </c>
      <c r="L171" s="225">
        <f t="shared" si="43"/>
        <v>0.14023506840006716</v>
      </c>
      <c r="N171" s="95">
        <f t="shared" si="34"/>
        <v>1.4530602323240986</v>
      </c>
      <c r="O171" s="95">
        <f t="shared" si="35"/>
        <v>2.0550908159441885</v>
      </c>
      <c r="P171" s="95">
        <f t="shared" si="36"/>
        <v>1.8221961530094655</v>
      </c>
      <c r="Q171" s="95">
        <f t="shared" si="37"/>
        <v>2.3544446330989097</v>
      </c>
      <c r="R171" s="96">
        <f t="shared" si="44"/>
        <v>0</v>
      </c>
      <c r="S171" s="96">
        <f t="shared" si="45"/>
        <v>0</v>
      </c>
      <c r="Z171" s="61">
        <f t="shared" si="38"/>
        <v>-1.4530602323240986</v>
      </c>
      <c r="AA171" s="61">
        <f t="shared" si="39"/>
        <v>-2.0550908159441885</v>
      </c>
    </row>
    <row r="172" spans="2:27" ht="17" x14ac:dyDescent="0.2">
      <c r="B172" s="104" t="str">
        <f>'1.RETURNS'!A173</f>
        <v>25-Aug-2023</v>
      </c>
      <c r="C172" s="226">
        <f>'1.RETURNS'!D173</f>
        <v>-2.7166877695450325E-3</v>
      </c>
      <c r="D172" s="127">
        <f t="shared" si="46"/>
        <v>9.1376861825514955E-3</v>
      </c>
      <c r="E172" s="128">
        <f t="shared" si="47"/>
        <v>0.1450562711854945</v>
      </c>
      <c r="F172" s="90" t="str">
        <f t="shared" si="40"/>
        <v/>
      </c>
      <c r="G172" s="61">
        <f t="shared" si="41"/>
        <v>7.3803924371955639E-6</v>
      </c>
      <c r="I172" s="61">
        <f t="shared" si="42"/>
        <v>1.1041911862912877E-4</v>
      </c>
      <c r="J172" s="61">
        <f t="shared" si="32"/>
        <v>1.0508050182080821</v>
      </c>
      <c r="K172" s="61">
        <f t="shared" si="33"/>
        <v>16.681012527583707</v>
      </c>
      <c r="L172" s="225">
        <f t="shared" si="43"/>
        <v>0.16681012527583708</v>
      </c>
      <c r="N172" s="95">
        <f t="shared" si="34"/>
        <v>1.7284204454183709</v>
      </c>
      <c r="O172" s="95">
        <f t="shared" si="35"/>
        <v>2.4445380201398188</v>
      </c>
      <c r="P172" s="95">
        <f t="shared" si="36"/>
        <v>2.1675089692508873</v>
      </c>
      <c r="Q172" s="95">
        <f t="shared" si="37"/>
        <v>2.8006204773389141</v>
      </c>
      <c r="R172" s="96">
        <f t="shared" si="44"/>
        <v>0</v>
      </c>
      <c r="S172" s="96">
        <f t="shared" si="45"/>
        <v>0</v>
      </c>
      <c r="Z172" s="61">
        <f t="shared" si="38"/>
        <v>-1.7284204454183709</v>
      </c>
      <c r="AA172" s="61">
        <f t="shared" si="39"/>
        <v>-2.4445380201398188</v>
      </c>
    </row>
    <row r="173" spans="2:27" ht="17" x14ac:dyDescent="0.2">
      <c r="B173" s="99" t="str">
        <f>'1.RETURNS'!A174</f>
        <v>28-Aug-2023</v>
      </c>
      <c r="C173" s="226">
        <f>'1.RETURNS'!D174</f>
        <v>-7.0016110826944802E-3</v>
      </c>
      <c r="D173" s="125">
        <f t="shared" si="46"/>
        <v>9.4270837097648538E-3</v>
      </c>
      <c r="E173" s="126">
        <f t="shared" si="47"/>
        <v>0.14965031450775604</v>
      </c>
      <c r="F173" s="90" t="str">
        <f t="shared" si="40"/>
        <v/>
      </c>
      <c r="G173" s="61">
        <f t="shared" si="41"/>
        <v>4.9022557753310171E-5</v>
      </c>
      <c r="I173" s="61">
        <f t="shared" si="42"/>
        <v>9.7594290078479006E-5</v>
      </c>
      <c r="J173" s="61">
        <f t="shared" si="32"/>
        <v>0.98789822390000781</v>
      </c>
      <c r="K173" s="61">
        <f t="shared" si="33"/>
        <v>15.682398126490957</v>
      </c>
      <c r="L173" s="225">
        <f t="shared" si="43"/>
        <v>0.15682398126490957</v>
      </c>
      <c r="N173" s="95">
        <f t="shared" si="34"/>
        <v>1.6249479766408448</v>
      </c>
      <c r="O173" s="95">
        <f t="shared" si="35"/>
        <v>2.2981949329385056</v>
      </c>
      <c r="P173" s="95">
        <f t="shared" si="36"/>
        <v>2.0377503189523871</v>
      </c>
      <c r="Q173" s="95">
        <f t="shared" si="37"/>
        <v>2.6329603945926654</v>
      </c>
      <c r="R173" s="96">
        <f t="shared" si="44"/>
        <v>0</v>
      </c>
      <c r="S173" s="96">
        <f t="shared" si="45"/>
        <v>0</v>
      </c>
      <c r="Z173" s="61">
        <f t="shared" si="38"/>
        <v>-1.6249479766408448</v>
      </c>
      <c r="AA173" s="61">
        <f t="shared" si="39"/>
        <v>-2.2981949329385056</v>
      </c>
    </row>
    <row r="174" spans="2:27" ht="17" x14ac:dyDescent="0.2">
      <c r="B174" s="104" t="str">
        <f>'1.RETURNS'!A175</f>
        <v>29-Aug-2023</v>
      </c>
      <c r="C174" s="226">
        <f>'1.RETURNS'!D175</f>
        <v>-8.7004675955682457E-3</v>
      </c>
      <c r="D174" s="127">
        <f t="shared" si="46"/>
        <v>9.7743568499334531E-3</v>
      </c>
      <c r="E174" s="128">
        <f t="shared" si="47"/>
        <v>0.15516310470314759</v>
      </c>
      <c r="F174" s="90" t="str">
        <f t="shared" si="40"/>
        <v/>
      </c>
      <c r="G174" s="61">
        <f t="shared" si="41"/>
        <v>7.5698136381533094E-5</v>
      </c>
      <c r="I174" s="61">
        <f t="shared" si="42"/>
        <v>9.0857402342038173E-5</v>
      </c>
      <c r="J174" s="61">
        <f t="shared" si="32"/>
        <v>0.95319149357323885</v>
      </c>
      <c r="K174" s="61">
        <f t="shared" si="33"/>
        <v>15.131445862902073</v>
      </c>
      <c r="L174" s="225">
        <f t="shared" si="43"/>
        <v>0.15131445862902074</v>
      </c>
      <c r="N174" s="95">
        <f t="shared" si="34"/>
        <v>1.5678604853832321</v>
      </c>
      <c r="O174" s="95">
        <f t="shared" si="35"/>
        <v>2.2174550046279178</v>
      </c>
      <c r="P174" s="95">
        <f t="shared" si="36"/>
        <v>1.9661603018006544</v>
      </c>
      <c r="Q174" s="95">
        <f t="shared" si="37"/>
        <v>2.5404595233840541</v>
      </c>
      <c r="R174" s="96">
        <f t="shared" si="44"/>
        <v>0</v>
      </c>
      <c r="S174" s="96">
        <f t="shared" si="45"/>
        <v>0</v>
      </c>
      <c r="Z174" s="61">
        <f t="shared" si="38"/>
        <v>-1.5678604853832321</v>
      </c>
      <c r="AA174" s="61">
        <f t="shared" si="39"/>
        <v>-2.2174550046279178</v>
      </c>
    </row>
    <row r="175" spans="2:27" ht="17" x14ac:dyDescent="0.2">
      <c r="B175" s="99" t="str">
        <f>'1.RETURNS'!A176</f>
        <v>30-Aug-2023</v>
      </c>
      <c r="C175" s="226">
        <f>'1.RETURNS'!D176</f>
        <v>-8.3326488017001123E-3</v>
      </c>
      <c r="D175" s="125">
        <f t="shared" si="46"/>
        <v>1.0048252866568935E-2</v>
      </c>
      <c r="E175" s="126">
        <f t="shared" si="47"/>
        <v>0.15951106917379976</v>
      </c>
      <c r="F175" s="90" t="str">
        <f t="shared" si="40"/>
        <v/>
      </c>
      <c r="G175" s="61">
        <f t="shared" si="41"/>
        <v>6.9433036052474317E-5</v>
      </c>
      <c r="I175" s="61">
        <f t="shared" si="42"/>
        <v>8.7798605628885761E-5</v>
      </c>
      <c r="J175" s="61">
        <f t="shared" si="32"/>
        <v>0.93700910149734273</v>
      </c>
      <c r="K175" s="61">
        <f t="shared" si="33"/>
        <v>14.874558352596292</v>
      </c>
      <c r="L175" s="225">
        <f t="shared" si="43"/>
        <v>0.14874558352596293</v>
      </c>
      <c r="N175" s="95">
        <f t="shared" si="34"/>
        <v>1.5412428190844436</v>
      </c>
      <c r="O175" s="95">
        <f t="shared" si="35"/>
        <v>2.1798091312252614</v>
      </c>
      <c r="P175" s="95">
        <f t="shared" si="36"/>
        <v>1.9327806744095968</v>
      </c>
      <c r="Q175" s="95">
        <f t="shared" si="37"/>
        <v>2.4973299819041643</v>
      </c>
      <c r="R175" s="96">
        <f t="shared" si="44"/>
        <v>0</v>
      </c>
      <c r="S175" s="96">
        <f t="shared" si="45"/>
        <v>0</v>
      </c>
      <c r="Z175" s="61">
        <f t="shared" si="38"/>
        <v>-1.5412428190844436</v>
      </c>
      <c r="AA175" s="61">
        <f t="shared" si="39"/>
        <v>-2.1798091312252614</v>
      </c>
    </row>
    <row r="176" spans="2:27" ht="17" x14ac:dyDescent="0.2">
      <c r="B176" s="104" t="str">
        <f>'1.RETURNS'!A177</f>
        <v>31-Aug-2023</v>
      </c>
      <c r="C176" s="226">
        <f>'1.RETURNS'!D177</f>
        <v>-5.3771891585404285E-4</v>
      </c>
      <c r="D176" s="127">
        <f t="shared" si="46"/>
        <v>9.8654822022103579E-3</v>
      </c>
      <c r="E176" s="128">
        <f t="shared" si="47"/>
        <v>0.15660967482469465</v>
      </c>
      <c r="F176" s="90" t="str">
        <f t="shared" si="40"/>
        <v/>
      </c>
      <c r="G176" s="61">
        <f t="shared" si="41"/>
        <v>2.8914163246724719E-7</v>
      </c>
      <c r="I176" s="61">
        <f t="shared" si="42"/>
        <v>8.457211838980034E-5</v>
      </c>
      <c r="J176" s="61">
        <f t="shared" si="32"/>
        <v>0.91963100420658028</v>
      </c>
      <c r="K176" s="61">
        <f t="shared" si="33"/>
        <v>14.598689610451235</v>
      </c>
      <c r="L176" s="225">
        <f t="shared" si="43"/>
        <v>0.14598689610451235</v>
      </c>
      <c r="N176" s="95">
        <f t="shared" si="34"/>
        <v>1.5126583927262176</v>
      </c>
      <c r="O176" s="95">
        <f t="shared" si="35"/>
        <v>2.1393816315380216</v>
      </c>
      <c r="P176" s="95">
        <f t="shared" si="36"/>
        <v>1.8969346505578308</v>
      </c>
      <c r="Q176" s="95">
        <f t="shared" si="37"/>
        <v>2.4510136298822713</v>
      </c>
      <c r="R176" s="96">
        <f t="shared" si="44"/>
        <v>0</v>
      </c>
      <c r="S176" s="96">
        <f t="shared" si="45"/>
        <v>0</v>
      </c>
      <c r="Z176" s="61">
        <f t="shared" si="38"/>
        <v>-1.5126583927262176</v>
      </c>
      <c r="AA176" s="61">
        <f t="shared" si="39"/>
        <v>-2.1393816315380216</v>
      </c>
    </row>
    <row r="177" spans="2:27" ht="17" x14ac:dyDescent="0.2">
      <c r="B177" s="99" t="str">
        <f>'1.RETURNS'!A178</f>
        <v>01-Sep-2023</v>
      </c>
      <c r="C177" s="226">
        <f>'1.RETURNS'!D178</f>
        <v>3.5689868357062136E-3</v>
      </c>
      <c r="D177" s="125">
        <f t="shared" si="46"/>
        <v>9.8711052795509482E-3</v>
      </c>
      <c r="E177" s="126">
        <f t="shared" si="47"/>
        <v>0.15669893841017116</v>
      </c>
      <c r="F177" s="90" t="str">
        <f t="shared" si="40"/>
        <v/>
      </c>
      <c r="G177" s="61">
        <f t="shared" si="41"/>
        <v>1.273766703344425E-5</v>
      </c>
      <c r="I177" s="61">
        <f t="shared" si="42"/>
        <v>7.4915214794577019E-5</v>
      </c>
      <c r="J177" s="61">
        <f t="shared" si="32"/>
        <v>0.86553575775109959</v>
      </c>
      <c r="K177" s="61">
        <f t="shared" si="33"/>
        <v>13.739954195059534</v>
      </c>
      <c r="L177" s="225">
        <f t="shared" si="43"/>
        <v>0.13739954195059534</v>
      </c>
      <c r="N177" s="95">
        <f t="shared" si="34"/>
        <v>1.4236796303930863</v>
      </c>
      <c r="O177" s="95">
        <f t="shared" si="35"/>
        <v>2.0135372699505987</v>
      </c>
      <c r="P177" s="95">
        <f t="shared" si="36"/>
        <v>1.78535169286884</v>
      </c>
      <c r="Q177" s="95">
        <f t="shared" si="37"/>
        <v>2.3068382097760129</v>
      </c>
      <c r="R177" s="96">
        <f t="shared" si="44"/>
        <v>0</v>
      </c>
      <c r="S177" s="96">
        <f t="shared" si="45"/>
        <v>0</v>
      </c>
      <c r="Z177" s="61">
        <f t="shared" si="38"/>
        <v>-1.4236796303930863</v>
      </c>
      <c r="AA177" s="61">
        <f t="shared" si="39"/>
        <v>-2.0135372699505987</v>
      </c>
    </row>
    <row r="178" spans="2:27" ht="17" x14ac:dyDescent="0.2">
      <c r="B178" s="104" t="str">
        <f>'1.RETURNS'!A179</f>
        <v>04-Sep-2023</v>
      </c>
      <c r="C178" s="226">
        <f>'1.RETURNS'!D179</f>
        <v>2.9188495799730967E-3</v>
      </c>
      <c r="D178" s="127">
        <f t="shared" si="46"/>
        <v>9.8697654800550677E-3</v>
      </c>
      <c r="E178" s="128">
        <f t="shared" si="47"/>
        <v>0.15667766975253442</v>
      </c>
      <c r="F178" s="90" t="str">
        <f t="shared" si="40"/>
        <v/>
      </c>
      <c r="G178" s="61">
        <f t="shared" si="41"/>
        <v>8.5196828705091225E-6</v>
      </c>
      <c r="I178" s="61">
        <f t="shared" si="42"/>
        <v>6.7951699278734893E-5</v>
      </c>
      <c r="J178" s="61">
        <f t="shared" si="32"/>
        <v>0.82432820695845965</v>
      </c>
      <c r="K178" s="61">
        <f t="shared" si="33"/>
        <v>13.085804605847207</v>
      </c>
      <c r="L178" s="225">
        <f t="shared" si="43"/>
        <v>0.13085804605847207</v>
      </c>
      <c r="N178" s="95">
        <f t="shared" si="34"/>
        <v>1.3558992410140256</v>
      </c>
      <c r="O178" s="95">
        <f t="shared" si="35"/>
        <v>1.9176741717697108</v>
      </c>
      <c r="P178" s="95">
        <f t="shared" si="36"/>
        <v>1.7003523500828488</v>
      </c>
      <c r="Q178" s="95">
        <f t="shared" si="37"/>
        <v>2.197011259417847</v>
      </c>
      <c r="R178" s="96">
        <f t="shared" si="44"/>
        <v>0</v>
      </c>
      <c r="S178" s="96">
        <f t="shared" si="45"/>
        <v>0</v>
      </c>
      <c r="Z178" s="61">
        <f t="shared" si="38"/>
        <v>-1.3558992410140256</v>
      </c>
      <c r="AA178" s="61">
        <f t="shared" si="39"/>
        <v>-1.9176741717697108</v>
      </c>
    </row>
    <row r="179" spans="2:27" ht="17" x14ac:dyDescent="0.2">
      <c r="B179" s="99" t="str">
        <f>'1.RETURNS'!A180</f>
        <v>05-Sep-2023</v>
      </c>
      <c r="C179" s="226">
        <f>'1.RETURNS'!D180</f>
        <v>8.7876670220886927E-3</v>
      </c>
      <c r="D179" s="125">
        <f t="shared" si="46"/>
        <v>9.7346777007892814E-3</v>
      </c>
      <c r="E179" s="126">
        <f t="shared" si="47"/>
        <v>0.15453321773792686</v>
      </c>
      <c r="F179" s="90" t="str">
        <f t="shared" si="40"/>
        <v/>
      </c>
      <c r="G179" s="61">
        <f t="shared" si="41"/>
        <v>7.722309169110515E-5</v>
      </c>
      <c r="I179" s="61">
        <f t="shared" si="42"/>
        <v>6.1610912673975567E-5</v>
      </c>
      <c r="J179" s="61">
        <f t="shared" si="32"/>
        <v>0.78492619190580948</v>
      </c>
      <c r="K179" s="61">
        <f t="shared" si="33"/>
        <v>12.460317007942391</v>
      </c>
      <c r="L179" s="225">
        <f t="shared" si="43"/>
        <v>0.12460317007942391</v>
      </c>
      <c r="N179" s="95">
        <f t="shared" si="34"/>
        <v>1.2910886936454775</v>
      </c>
      <c r="O179" s="95">
        <f t="shared" si="35"/>
        <v>1.8260113778190528</v>
      </c>
      <c r="P179" s="95">
        <f t="shared" si="36"/>
        <v>1.6190773089921469</v>
      </c>
      <c r="Q179" s="95">
        <f t="shared" si="37"/>
        <v>2.0919964485892444</v>
      </c>
      <c r="R179" s="96">
        <f t="shared" si="44"/>
        <v>0</v>
      </c>
      <c r="S179" s="96">
        <f t="shared" si="45"/>
        <v>0</v>
      </c>
      <c r="Z179" s="61">
        <f t="shared" si="38"/>
        <v>-1.2910886936454775</v>
      </c>
      <c r="AA179" s="61">
        <f t="shared" si="39"/>
        <v>-1.8260113778190528</v>
      </c>
    </row>
    <row r="180" spans="2:27" ht="17" x14ac:dyDescent="0.2">
      <c r="B180" s="104" t="str">
        <f>'1.RETURNS'!A181</f>
        <v>06-Sep-2023</v>
      </c>
      <c r="C180" s="226">
        <f>'1.RETURNS'!D181</f>
        <v>3.9912193704844801E-4</v>
      </c>
      <c r="D180" s="127">
        <f t="shared" si="46"/>
        <v>8.8966766164092319E-3</v>
      </c>
      <c r="E180" s="128">
        <f t="shared" si="47"/>
        <v>0.14123036293189448</v>
      </c>
      <c r="F180" s="90" t="str">
        <f t="shared" si="40"/>
        <v/>
      </c>
      <c r="G180" s="61">
        <f t="shared" si="41"/>
        <v>1.592983206333053E-7</v>
      </c>
      <c r="I180" s="61">
        <f t="shared" si="42"/>
        <v>6.3091584941989739E-5</v>
      </c>
      <c r="J180" s="61">
        <f t="shared" si="32"/>
        <v>0.79430211470189194</v>
      </c>
      <c r="K180" s="61">
        <f t="shared" si="33"/>
        <v>12.609155168123445</v>
      </c>
      <c r="L180" s="225">
        <f t="shared" si="43"/>
        <v>0.12609155168123445</v>
      </c>
      <c r="N180" s="95">
        <f t="shared" si="34"/>
        <v>1.3065107142626307</v>
      </c>
      <c r="O180" s="95">
        <f t="shared" si="35"/>
        <v>1.8478230358828904</v>
      </c>
      <c r="P180" s="95">
        <f t="shared" si="36"/>
        <v>1.6384171450258269</v>
      </c>
      <c r="Q180" s="95">
        <f t="shared" si="37"/>
        <v>2.1169852913542275</v>
      </c>
      <c r="R180" s="96">
        <f t="shared" si="44"/>
        <v>0</v>
      </c>
      <c r="S180" s="96">
        <f t="shared" si="45"/>
        <v>0</v>
      </c>
      <c r="Z180" s="61">
        <f t="shared" si="38"/>
        <v>-1.3065107142626307</v>
      </c>
      <c r="AA180" s="61">
        <f t="shared" si="39"/>
        <v>-1.8478230358828904</v>
      </c>
    </row>
    <row r="181" spans="2:27" ht="17" x14ac:dyDescent="0.2">
      <c r="B181" s="99" t="str">
        <f>'1.RETURNS'!A182</f>
        <v>07-Sep-2023</v>
      </c>
      <c r="C181" s="226">
        <f>'1.RETURNS'!D182</f>
        <v>1.4444864903524457E-2</v>
      </c>
      <c r="D181" s="125">
        <f t="shared" si="46"/>
        <v>9.2967593632955706E-3</v>
      </c>
      <c r="E181" s="126">
        <f t="shared" si="47"/>
        <v>0.1475814796445476</v>
      </c>
      <c r="F181" s="90" t="str">
        <f t="shared" si="40"/>
        <v/>
      </c>
      <c r="G181" s="61">
        <f t="shared" si="41"/>
        <v>2.0865412208107261E-4</v>
      </c>
      <c r="I181" s="61">
        <f t="shared" si="42"/>
        <v>5.6643777032754607E-5</v>
      </c>
      <c r="J181" s="61">
        <f t="shared" si="32"/>
        <v>0.75262060184899671</v>
      </c>
      <c r="K181" s="61">
        <f t="shared" si="33"/>
        <v>11.947481664457227</v>
      </c>
      <c r="L181" s="225">
        <f t="shared" si="43"/>
        <v>0.11947481664457227</v>
      </c>
      <c r="N181" s="95">
        <f t="shared" si="34"/>
        <v>1.2379507266697216</v>
      </c>
      <c r="O181" s="95">
        <f t="shared" si="35"/>
        <v>1.7508573370707516</v>
      </c>
      <c r="P181" s="95">
        <f t="shared" si="36"/>
        <v>1.5524401546278743</v>
      </c>
      <c r="Q181" s="95">
        <f t="shared" si="37"/>
        <v>2.0058951305731649</v>
      </c>
      <c r="R181" s="96">
        <f t="shared" si="44"/>
        <v>0</v>
      </c>
      <c r="S181" s="96">
        <f t="shared" si="45"/>
        <v>0</v>
      </c>
      <c r="Z181" s="61">
        <f t="shared" si="38"/>
        <v>-1.2379507266697216</v>
      </c>
      <c r="AA181" s="61">
        <f t="shared" si="39"/>
        <v>-1.7508573370707516</v>
      </c>
    </row>
    <row r="182" spans="2:27" ht="17" x14ac:dyDescent="0.2">
      <c r="B182" s="104" t="str">
        <f>'1.RETURNS'!A183</f>
        <v>08-Sep-2023</v>
      </c>
      <c r="C182" s="226">
        <f>'1.RETURNS'!D183</f>
        <v>-2.7342805469443105E-3</v>
      </c>
      <c r="D182" s="127">
        <f t="shared" si="46"/>
        <v>8.7506374179209378E-3</v>
      </c>
      <c r="E182" s="128">
        <f t="shared" si="47"/>
        <v>0.13891206252669111</v>
      </c>
      <c r="F182" s="90" t="str">
        <f t="shared" si="40"/>
        <v/>
      </c>
      <c r="G182" s="61">
        <f t="shared" si="41"/>
        <v>7.4762901093980779E-6</v>
      </c>
      <c r="I182" s="61">
        <f t="shared" si="42"/>
        <v>7.2012622685948676E-5</v>
      </c>
      <c r="J182" s="61">
        <f t="shared" si="32"/>
        <v>0.84860251405442266</v>
      </c>
      <c r="K182" s="61">
        <f t="shared" si="33"/>
        <v>13.471147284793179</v>
      </c>
      <c r="L182" s="225">
        <f t="shared" si="43"/>
        <v>0.13471147284793181</v>
      </c>
      <c r="N182" s="95">
        <f t="shared" si="34"/>
        <v>1.3958269230825542</v>
      </c>
      <c r="O182" s="95">
        <f t="shared" si="35"/>
        <v>1.9741446544762189</v>
      </c>
      <c r="P182" s="95">
        <f t="shared" si="36"/>
        <v>1.7504232742230601</v>
      </c>
      <c r="Q182" s="95">
        <f t="shared" si="37"/>
        <v>2.2617074878790486</v>
      </c>
      <c r="R182" s="96">
        <f t="shared" si="44"/>
        <v>0</v>
      </c>
      <c r="S182" s="96">
        <f t="shared" si="45"/>
        <v>0</v>
      </c>
      <c r="Z182" s="61">
        <f t="shared" si="38"/>
        <v>-1.3958269230825542</v>
      </c>
      <c r="AA182" s="61">
        <f t="shared" si="39"/>
        <v>-1.9741446544762189</v>
      </c>
    </row>
    <row r="183" spans="2:27" ht="17" x14ac:dyDescent="0.2">
      <c r="B183" s="99" t="str">
        <f>'1.RETURNS'!A184</f>
        <v>11-Sep-2023</v>
      </c>
      <c r="C183" s="226">
        <f>'1.RETURNS'!D184</f>
        <v>2.6601048383635115E-2</v>
      </c>
      <c r="D183" s="125">
        <f t="shared" si="46"/>
        <v>1.0217358386984366E-2</v>
      </c>
      <c r="E183" s="126">
        <f t="shared" si="47"/>
        <v>0.16219553608788406</v>
      </c>
      <c r="F183" s="90" t="str">
        <f t="shared" si="40"/>
        <v/>
      </c>
      <c r="G183" s="61">
        <f t="shared" si="41"/>
        <v>7.0761577510849636E-4</v>
      </c>
      <c r="I183" s="61">
        <f t="shared" si="42"/>
        <v>6.4958358293996181E-5</v>
      </c>
      <c r="J183" s="61">
        <f t="shared" si="32"/>
        <v>0.80596748255743045</v>
      </c>
      <c r="K183" s="61">
        <f t="shared" si="33"/>
        <v>12.794337141910496</v>
      </c>
      <c r="L183" s="225">
        <f t="shared" si="43"/>
        <v>0.12794337141910497</v>
      </c>
      <c r="N183" s="95">
        <f t="shared" si="34"/>
        <v>1.3256985368895364</v>
      </c>
      <c r="O183" s="95">
        <f t="shared" si="35"/>
        <v>1.8749607395935268</v>
      </c>
      <c r="P183" s="95">
        <f t="shared" si="36"/>
        <v>1.6624794487057317</v>
      </c>
      <c r="Q183" s="95">
        <f t="shared" si="37"/>
        <v>2.1480759956483739</v>
      </c>
      <c r="R183" s="96">
        <f t="shared" si="44"/>
        <v>0</v>
      </c>
      <c r="S183" s="96">
        <f t="shared" si="45"/>
        <v>0</v>
      </c>
      <c r="Z183" s="61">
        <f t="shared" si="38"/>
        <v>-1.3256985368895364</v>
      </c>
      <c r="AA183" s="61">
        <f t="shared" si="39"/>
        <v>-1.8749607395935268</v>
      </c>
    </row>
    <row r="184" spans="2:27" ht="17" x14ac:dyDescent="0.2">
      <c r="B184" s="104" t="str">
        <f>'1.RETURNS'!A185</f>
        <v>12-Sep-2023</v>
      </c>
      <c r="C184" s="226">
        <f>'1.RETURNS'!D185</f>
        <v>8.3670803066559097E-3</v>
      </c>
      <c r="D184" s="127">
        <f t="shared" si="46"/>
        <v>9.7342196840498885E-3</v>
      </c>
      <c r="E184" s="128">
        <f t="shared" si="47"/>
        <v>0.15452594694759442</v>
      </c>
      <c r="F184" s="90" t="str">
        <f t="shared" si="40"/>
        <v/>
      </c>
      <c r="G184" s="61">
        <f t="shared" si="41"/>
        <v>7.0008032858029148E-5</v>
      </c>
      <c r="I184" s="61">
        <f t="shared" si="42"/>
        <v>1.2897618206074641E-4</v>
      </c>
      <c r="J184" s="61">
        <f t="shared" si="32"/>
        <v>1.1356768116887235</v>
      </c>
      <c r="K184" s="61">
        <f t="shared" si="33"/>
        <v>18.028310480826566</v>
      </c>
      <c r="L184" s="225">
        <f t="shared" si="43"/>
        <v>0.18028310480826565</v>
      </c>
      <c r="N184" s="95">
        <f t="shared" si="34"/>
        <v>1.8680221227508802</v>
      </c>
      <c r="O184" s="95">
        <f t="shared" si="35"/>
        <v>2.6419793364695421</v>
      </c>
      <c r="P184" s="95">
        <f t="shared" si="36"/>
        <v>2.3425751046595318</v>
      </c>
      <c r="Q184" s="95">
        <f t="shared" si="37"/>
        <v>3.0268219882297718</v>
      </c>
      <c r="R184" s="96">
        <f t="shared" si="44"/>
        <v>0</v>
      </c>
      <c r="S184" s="96">
        <f t="shared" si="45"/>
        <v>0</v>
      </c>
      <c r="Z184" s="61">
        <f t="shared" si="38"/>
        <v>-1.8680221227508802</v>
      </c>
      <c r="AA184" s="61">
        <f t="shared" si="39"/>
        <v>-2.6419793364695421</v>
      </c>
    </row>
    <row r="185" spans="2:27" ht="17" x14ac:dyDescent="0.2">
      <c r="B185" s="99" t="str">
        <f>'1.RETURNS'!A186</f>
        <v>13-Sep-2023</v>
      </c>
      <c r="C185" s="226">
        <f>'1.RETURNS'!D186</f>
        <v>-8.9088268120969538E-3</v>
      </c>
      <c r="D185" s="125">
        <f t="shared" si="46"/>
        <v>1.0132745664534206E-2</v>
      </c>
      <c r="E185" s="126">
        <f t="shared" si="47"/>
        <v>0.16085235075975254</v>
      </c>
      <c r="F185" s="90" t="str">
        <f t="shared" si="40"/>
        <v/>
      </c>
      <c r="G185" s="61">
        <f t="shared" si="41"/>
        <v>7.9367195167937571E-5</v>
      </c>
      <c r="I185" s="61">
        <f t="shared" si="42"/>
        <v>1.1963055803743736E-4</v>
      </c>
      <c r="J185" s="61">
        <f t="shared" si="32"/>
        <v>1.0937575510022199</v>
      </c>
      <c r="K185" s="61">
        <f t="shared" si="33"/>
        <v>17.362862847305514</v>
      </c>
      <c r="L185" s="225">
        <f t="shared" si="43"/>
        <v>0.17362862847305516</v>
      </c>
      <c r="N185" s="95">
        <f t="shared" si="34"/>
        <v>1.7990710747715606</v>
      </c>
      <c r="O185" s="95">
        <f t="shared" si="35"/>
        <v>2.544460553490131</v>
      </c>
      <c r="P185" s="95">
        <f t="shared" si="36"/>
        <v>2.2561077087602381</v>
      </c>
      <c r="Q185" s="95">
        <f t="shared" si="37"/>
        <v>2.9150981785417196</v>
      </c>
      <c r="R185" s="96">
        <f t="shared" si="44"/>
        <v>0</v>
      </c>
      <c r="S185" s="96">
        <f t="shared" si="45"/>
        <v>0</v>
      </c>
      <c r="Z185" s="61">
        <f t="shared" si="38"/>
        <v>-1.7990710747715606</v>
      </c>
      <c r="AA185" s="61">
        <f t="shared" si="39"/>
        <v>-2.544460553490131</v>
      </c>
    </row>
    <row r="186" spans="2:27" ht="17" x14ac:dyDescent="0.2">
      <c r="B186" s="104" t="str">
        <f>'1.RETURNS'!A187</f>
        <v>14-Sep-2023</v>
      </c>
      <c r="C186" s="226">
        <f>'1.RETURNS'!D187</f>
        <v>-1.0752605375643568E-2</v>
      </c>
      <c r="D186" s="127">
        <f t="shared" si="46"/>
        <v>1.0382903003691527E-2</v>
      </c>
      <c r="E186" s="128">
        <f t="shared" si="47"/>
        <v>0.16482347540804002</v>
      </c>
      <c r="F186" s="90" t="str">
        <f t="shared" si="40"/>
        <v/>
      </c>
      <c r="G186" s="61">
        <f t="shared" si="41"/>
        <v>1.1561852236431897E-4</v>
      </c>
      <c r="I186" s="61">
        <f t="shared" si="42"/>
        <v>1.1262269384861551E-4</v>
      </c>
      <c r="J186" s="61">
        <f t="shared" si="32"/>
        <v>1.0612383985166363</v>
      </c>
      <c r="K186" s="61">
        <f t="shared" si="33"/>
        <v>16.846637305364862</v>
      </c>
      <c r="L186" s="225">
        <f t="shared" si="43"/>
        <v>0.16846637305364862</v>
      </c>
      <c r="N186" s="95">
        <f t="shared" si="34"/>
        <v>1.7455818288602603</v>
      </c>
      <c r="O186" s="95">
        <f t="shared" si="35"/>
        <v>2.4688096922396832</v>
      </c>
      <c r="P186" s="95">
        <f t="shared" si="36"/>
        <v>2.1890300364389379</v>
      </c>
      <c r="Q186" s="95">
        <f t="shared" si="37"/>
        <v>2.8284276709035483</v>
      </c>
      <c r="R186" s="96">
        <f t="shared" si="44"/>
        <v>0</v>
      </c>
      <c r="S186" s="96">
        <f t="shared" si="45"/>
        <v>0</v>
      </c>
      <c r="Z186" s="61">
        <f t="shared" si="38"/>
        <v>-1.7455818288602603</v>
      </c>
      <c r="AA186" s="61">
        <f t="shared" si="39"/>
        <v>-2.4688096922396832</v>
      </c>
    </row>
    <row r="187" spans="2:27" ht="17" x14ac:dyDescent="0.2">
      <c r="B187" s="99" t="str">
        <f>'1.RETURNS'!A188</f>
        <v>15-Sep-2023</v>
      </c>
      <c r="C187" s="226">
        <f>'1.RETURNS'!D188</f>
        <v>5.6532182272813853E-3</v>
      </c>
      <c r="D187" s="125">
        <f t="shared" si="46"/>
        <v>1.0067656171908928E-2</v>
      </c>
      <c r="E187" s="126">
        <f t="shared" si="47"/>
        <v>0.15981908709705339</v>
      </c>
      <c r="F187" s="90" t="str">
        <f t="shared" si="40"/>
        <v/>
      </c>
      <c r="G187" s="61">
        <f t="shared" si="41"/>
        <v>3.195887632526649E-5</v>
      </c>
      <c r="I187" s="61">
        <f t="shared" si="42"/>
        <v>1.1029114200775507E-4</v>
      </c>
      <c r="J187" s="61">
        <f t="shared" si="32"/>
        <v>1.050195896048709</v>
      </c>
      <c r="K187" s="61">
        <f t="shared" si="33"/>
        <v>16.671343013073148</v>
      </c>
      <c r="L187" s="225">
        <f t="shared" si="43"/>
        <v>0.16671343013073148</v>
      </c>
      <c r="N187" s="95">
        <f t="shared" si="34"/>
        <v>1.7274185286252695</v>
      </c>
      <c r="O187" s="95">
        <f t="shared" si="35"/>
        <v>2.44312099009933</v>
      </c>
      <c r="P187" s="95">
        <f t="shared" si="36"/>
        <v>2.1662525251714118</v>
      </c>
      <c r="Q187" s="95">
        <f t="shared" si="37"/>
        <v>2.7989970362978247</v>
      </c>
      <c r="R187" s="96">
        <f t="shared" si="44"/>
        <v>0</v>
      </c>
      <c r="S187" s="96">
        <f t="shared" si="45"/>
        <v>0</v>
      </c>
      <c r="Z187" s="61">
        <f t="shared" si="38"/>
        <v>-1.7274185286252695</v>
      </c>
      <c r="AA187" s="61">
        <f t="shared" si="39"/>
        <v>-2.44312099009933</v>
      </c>
    </row>
    <row r="188" spans="2:27" ht="17" x14ac:dyDescent="0.2">
      <c r="B188" s="104" t="str">
        <f>'1.RETURNS'!A189</f>
        <v>18-Sep-2023</v>
      </c>
      <c r="C188" s="226">
        <f>'1.RETURNS'!D189</f>
        <v>-2.081790297793948E-3</v>
      </c>
      <c r="D188" s="127">
        <f t="shared" si="46"/>
        <v>9.995430705757603E-3</v>
      </c>
      <c r="E188" s="128">
        <f t="shared" si="47"/>
        <v>0.15867254336648068</v>
      </c>
      <c r="F188" s="90" t="str">
        <f t="shared" si="40"/>
        <v/>
      </c>
      <c r="G188" s="61">
        <f t="shared" si="41"/>
        <v>4.3338508439890141E-6</v>
      </c>
      <c r="I188" s="61">
        <f t="shared" si="42"/>
        <v>9.9943358339118457E-5</v>
      </c>
      <c r="J188" s="61">
        <f t="shared" si="32"/>
        <v>0.99971675158075868</v>
      </c>
      <c r="K188" s="61">
        <f t="shared" si="33"/>
        <v>15.870011437128156</v>
      </c>
      <c r="L188" s="225">
        <f t="shared" si="43"/>
        <v>0.15870011437128156</v>
      </c>
      <c r="N188" s="95">
        <f t="shared" si="34"/>
        <v>1.6443877247617542</v>
      </c>
      <c r="O188" s="95">
        <f t="shared" si="35"/>
        <v>2.3256889396829132</v>
      </c>
      <c r="P188" s="95">
        <f t="shared" si="36"/>
        <v>2.062128547365353</v>
      </c>
      <c r="Q188" s="95">
        <f t="shared" si="37"/>
        <v>2.6644593026309535</v>
      </c>
      <c r="R188" s="96">
        <f t="shared" si="44"/>
        <v>0</v>
      </c>
      <c r="S188" s="96">
        <f t="shared" si="45"/>
        <v>0</v>
      </c>
      <c r="Z188" s="61">
        <f t="shared" si="38"/>
        <v>-1.6443877247617542</v>
      </c>
      <c r="AA188" s="61">
        <f t="shared" si="39"/>
        <v>-2.3256889396829132</v>
      </c>
    </row>
    <row r="189" spans="2:27" ht="17" x14ac:dyDescent="0.2">
      <c r="B189" s="99" t="str">
        <f>'1.RETURNS'!A190</f>
        <v>19-Sep-2023</v>
      </c>
      <c r="C189" s="226">
        <f>'1.RETURNS'!D190</f>
        <v>7.5358083382229902E-3</v>
      </c>
      <c r="D189" s="125">
        <f t="shared" si="46"/>
        <v>1.0044362626793046E-2</v>
      </c>
      <c r="E189" s="126">
        <f t="shared" si="47"/>
        <v>0.15944931353187525</v>
      </c>
      <c r="F189" s="90" t="str">
        <f t="shared" si="40"/>
        <v/>
      </c>
      <c r="G189" s="61">
        <f t="shared" si="41"/>
        <v>5.6788407310431144E-5</v>
      </c>
      <c r="I189" s="61">
        <f t="shared" si="42"/>
        <v>8.8385239672649594E-5</v>
      </c>
      <c r="J189" s="61">
        <f t="shared" si="32"/>
        <v>0.94013424399204593</v>
      </c>
      <c r="K189" s="61">
        <f t="shared" si="33"/>
        <v>14.92416845171204</v>
      </c>
      <c r="L189" s="225">
        <f t="shared" si="43"/>
        <v>0.14924168451712039</v>
      </c>
      <c r="N189" s="95">
        <f t="shared" si="34"/>
        <v>1.5463832210515964</v>
      </c>
      <c r="O189" s="95">
        <f t="shared" si="35"/>
        <v>2.187079299823889</v>
      </c>
      <c r="P189" s="95">
        <f t="shared" si="36"/>
        <v>1.9392269458587068</v>
      </c>
      <c r="Q189" s="95">
        <f t="shared" si="37"/>
        <v>2.5056591561216544</v>
      </c>
      <c r="R189" s="96">
        <f t="shared" si="44"/>
        <v>0</v>
      </c>
      <c r="S189" s="96">
        <f t="shared" si="45"/>
        <v>0</v>
      </c>
      <c r="Z189" s="61">
        <f t="shared" si="38"/>
        <v>-1.5463832210515964</v>
      </c>
      <c r="AA189" s="61">
        <f t="shared" si="39"/>
        <v>-2.187079299823889</v>
      </c>
    </row>
    <row r="190" spans="2:27" ht="17" x14ac:dyDescent="0.2">
      <c r="B190" s="104" t="str">
        <f>'1.RETURNS'!A191</f>
        <v>20-Sep-2023</v>
      </c>
      <c r="C190" s="226">
        <f>'1.RETURNS'!D191</f>
        <v>5.2921805565481293E-3</v>
      </c>
      <c r="D190" s="127">
        <f t="shared" si="46"/>
        <v>9.9619688072495275E-3</v>
      </c>
      <c r="E190" s="128">
        <f t="shared" si="47"/>
        <v>0.15814135219538997</v>
      </c>
      <c r="F190" s="90" t="str">
        <f t="shared" si="40"/>
        <v/>
      </c>
      <c r="G190" s="61">
        <f t="shared" si="41"/>
        <v>2.8007175043106066E-5</v>
      </c>
      <c r="I190" s="61">
        <f t="shared" si="42"/>
        <v>8.380629445279528E-5</v>
      </c>
      <c r="J190" s="61">
        <f t="shared" si="32"/>
        <v>0.91545777867029599</v>
      </c>
      <c r="K190" s="61">
        <f t="shared" si="33"/>
        <v>14.532441708847282</v>
      </c>
      <c r="L190" s="225">
        <f t="shared" si="43"/>
        <v>0.14532441708847282</v>
      </c>
      <c r="N190" s="95">
        <f t="shared" si="34"/>
        <v>1.5057940475667739</v>
      </c>
      <c r="O190" s="95">
        <f t="shared" si="35"/>
        <v>2.1296732571837937</v>
      </c>
      <c r="P190" s="95">
        <f t="shared" si="36"/>
        <v>1.8883264847955201</v>
      </c>
      <c r="Q190" s="95">
        <f t="shared" si="37"/>
        <v>2.4398910898382562</v>
      </c>
      <c r="R190" s="96">
        <f t="shared" si="44"/>
        <v>0</v>
      </c>
      <c r="S190" s="96">
        <f t="shared" si="45"/>
        <v>0</v>
      </c>
      <c r="Z190" s="61">
        <f t="shared" si="38"/>
        <v>-1.5057940475667739</v>
      </c>
      <c r="AA190" s="61">
        <f t="shared" si="39"/>
        <v>-2.1296732571837937</v>
      </c>
    </row>
    <row r="191" spans="2:27" ht="17" x14ac:dyDescent="0.2">
      <c r="B191" s="99" t="str">
        <f>'1.RETURNS'!A192</f>
        <v>21-Sep-2023</v>
      </c>
      <c r="C191" s="226">
        <f>'1.RETURNS'!D192</f>
        <v>-4.826249008080478E-4</v>
      </c>
      <c r="D191" s="125">
        <f t="shared" si="46"/>
        <v>9.0654881244230066E-3</v>
      </c>
      <c r="E191" s="126">
        <f t="shared" si="47"/>
        <v>0.14391016254379588</v>
      </c>
      <c r="F191" s="90" t="str">
        <f t="shared" si="40"/>
        <v/>
      </c>
      <c r="G191" s="61">
        <f t="shared" si="41"/>
        <v>2.3292679487997798E-7</v>
      </c>
      <c r="I191" s="61">
        <f t="shared" si="42"/>
        <v>7.703606778918659E-5</v>
      </c>
      <c r="J191" s="61">
        <f t="shared" si="32"/>
        <v>0.8777019299807115</v>
      </c>
      <c r="K191" s="61">
        <f t="shared" si="33"/>
        <v>13.933086191822335</v>
      </c>
      <c r="L191" s="225">
        <f t="shared" si="43"/>
        <v>0.13933086191822336</v>
      </c>
      <c r="N191" s="95">
        <f t="shared" si="34"/>
        <v>1.4436912029110798</v>
      </c>
      <c r="O191" s="95">
        <f t="shared" si="35"/>
        <v>2.041840018852171</v>
      </c>
      <c r="P191" s="95">
        <f t="shared" si="36"/>
        <v>1.8104470121452017</v>
      </c>
      <c r="Q191" s="95">
        <f t="shared" si="37"/>
        <v>2.3392636650095509</v>
      </c>
      <c r="R191" s="96">
        <f t="shared" si="44"/>
        <v>0</v>
      </c>
      <c r="S191" s="96">
        <f t="shared" si="45"/>
        <v>0</v>
      </c>
      <c r="Z191" s="61">
        <f t="shared" si="38"/>
        <v>-1.4436912029110798</v>
      </c>
      <c r="AA191" s="61">
        <f t="shared" si="39"/>
        <v>-2.041840018852171</v>
      </c>
    </row>
    <row r="192" spans="2:27" ht="17" x14ac:dyDescent="0.2">
      <c r="B192" s="104" t="str">
        <f>'1.RETURNS'!A193</f>
        <v>22-Sep-2023</v>
      </c>
      <c r="C192" s="226">
        <f>'1.RETURNS'!D193</f>
        <v>-7.7785413297187063E-3</v>
      </c>
      <c r="D192" s="127">
        <f t="shared" si="46"/>
        <v>9.2599196401661702E-3</v>
      </c>
      <c r="E192" s="128">
        <f t="shared" si="47"/>
        <v>0.1469966671699344</v>
      </c>
      <c r="F192" s="90" t="str">
        <f t="shared" si="40"/>
        <v/>
      </c>
      <c r="G192" s="61">
        <f t="shared" si="41"/>
        <v>6.0505705218142059E-5</v>
      </c>
      <c r="I192" s="61">
        <f t="shared" si="42"/>
        <v>6.8503950300296602E-5</v>
      </c>
      <c r="J192" s="61">
        <f t="shared" si="32"/>
        <v>0.82767113215513677</v>
      </c>
      <c r="K192" s="61">
        <f t="shared" si="33"/>
        <v>13.138871898178603</v>
      </c>
      <c r="L192" s="225">
        <f t="shared" si="43"/>
        <v>0.13138871898178603</v>
      </c>
      <c r="N192" s="95">
        <f t="shared" si="34"/>
        <v>1.3613978636484074</v>
      </c>
      <c r="O192" s="95">
        <f t="shared" si="35"/>
        <v>1.9254509786940781</v>
      </c>
      <c r="P192" s="95">
        <f t="shared" si="36"/>
        <v>1.7072478447005739</v>
      </c>
      <c r="Q192" s="95">
        <f t="shared" si="37"/>
        <v>2.205920871189583</v>
      </c>
      <c r="R192" s="96">
        <f t="shared" si="44"/>
        <v>0</v>
      </c>
      <c r="S192" s="96">
        <f t="shared" si="45"/>
        <v>0</v>
      </c>
      <c r="Z192" s="61">
        <f t="shared" si="38"/>
        <v>-1.3613978636484074</v>
      </c>
      <c r="AA192" s="61">
        <f t="shared" si="39"/>
        <v>-1.9254509786940781</v>
      </c>
    </row>
    <row r="193" spans="2:27" ht="17" x14ac:dyDescent="0.2">
      <c r="B193" s="99" t="str">
        <f>'1.RETURNS'!A194</f>
        <v>25-Sep-2023</v>
      </c>
      <c r="C193" s="226">
        <f>'1.RETURNS'!D194</f>
        <v>-1.6177610551065667E-2</v>
      </c>
      <c r="D193" s="125">
        <f t="shared" si="46"/>
        <v>9.8988377145399539E-3</v>
      </c>
      <c r="E193" s="126">
        <f t="shared" si="47"/>
        <v>0.15713917716755821</v>
      </c>
      <c r="F193" s="90" t="str">
        <f t="shared" si="40"/>
        <v/>
      </c>
      <c r="G193" s="61">
        <f t="shared" si="41"/>
        <v>2.6171508314195121E-4</v>
      </c>
      <c r="I193" s="61">
        <f t="shared" si="42"/>
        <v>6.7278928277066314E-5</v>
      </c>
      <c r="J193" s="61">
        <f t="shared" si="32"/>
        <v>0.82023733319732728</v>
      </c>
      <c r="K193" s="61">
        <f t="shared" si="33"/>
        <v>13.020863998145714</v>
      </c>
      <c r="L193" s="225">
        <f t="shared" si="43"/>
        <v>0.13020863998145715</v>
      </c>
      <c r="N193" s="95">
        <f t="shared" si="34"/>
        <v>1.3491703524706264</v>
      </c>
      <c r="O193" s="95">
        <f t="shared" si="35"/>
        <v>1.908157376292531</v>
      </c>
      <c r="P193" s="95">
        <f t="shared" si="36"/>
        <v>1.691914052381865</v>
      </c>
      <c r="Q193" s="95">
        <f t="shared" si="37"/>
        <v>2.1861082044960374</v>
      </c>
      <c r="R193" s="96">
        <f t="shared" si="44"/>
        <v>1</v>
      </c>
      <c r="S193" s="96">
        <f t="shared" si="45"/>
        <v>0</v>
      </c>
      <c r="Z193" s="61">
        <f t="shared" si="38"/>
        <v>-1.3491703524706264</v>
      </c>
      <c r="AA193" s="61">
        <f t="shared" si="39"/>
        <v>-1.908157376292531</v>
      </c>
    </row>
    <row r="194" spans="2:27" ht="17" x14ac:dyDescent="0.2">
      <c r="B194" s="104" t="str">
        <f>'1.RETURNS'!A195</f>
        <v>26-Sep-2023</v>
      </c>
      <c r="C194" s="226">
        <f>'1.RETURNS'!D195</f>
        <v>-5.0197813926275339E-3</v>
      </c>
      <c r="D194" s="127">
        <f t="shared" si="46"/>
        <v>9.7448724125281435E-3</v>
      </c>
      <c r="E194" s="128">
        <f t="shared" si="47"/>
        <v>0.15469505376962098</v>
      </c>
      <c r="F194" s="90" t="str">
        <f t="shared" si="40"/>
        <v/>
      </c>
      <c r="G194" s="61">
        <f t="shared" si="41"/>
        <v>2.5198205229769622E-5</v>
      </c>
      <c r="I194" s="61">
        <f t="shared" si="42"/>
        <v>8.6358597349701485E-5</v>
      </c>
      <c r="J194" s="61">
        <f t="shared" si="32"/>
        <v>0.9292932656040368</v>
      </c>
      <c r="K194" s="61">
        <f t="shared" si="33"/>
        <v>14.752073255012252</v>
      </c>
      <c r="L194" s="225">
        <f t="shared" si="43"/>
        <v>0.14752073255012252</v>
      </c>
      <c r="N194" s="95">
        <f t="shared" si="34"/>
        <v>1.5285513984303771</v>
      </c>
      <c r="O194" s="95">
        <f t="shared" si="35"/>
        <v>2.1618594127984214</v>
      </c>
      <c r="P194" s="95">
        <f t="shared" si="36"/>
        <v>1.916865120891849</v>
      </c>
      <c r="Q194" s="95">
        <f t="shared" si="37"/>
        <v>2.4767656263594708</v>
      </c>
      <c r="R194" s="96">
        <f t="shared" si="44"/>
        <v>0</v>
      </c>
      <c r="S194" s="96">
        <f t="shared" si="45"/>
        <v>0</v>
      </c>
      <c r="Z194" s="61">
        <f t="shared" si="38"/>
        <v>-1.5285513984303771</v>
      </c>
      <c r="AA194" s="61">
        <f t="shared" si="39"/>
        <v>-2.1618594127984214</v>
      </c>
    </row>
    <row r="195" spans="2:27" ht="17" x14ac:dyDescent="0.2">
      <c r="B195" s="99" t="str">
        <f>'1.RETURNS'!A196</f>
        <v>27-Sep-2023</v>
      </c>
      <c r="C195" s="226">
        <f>'1.RETURNS'!D196</f>
        <v>8.5899744800403029E-3</v>
      </c>
      <c r="D195" s="125">
        <f t="shared" si="46"/>
        <v>9.6223114424203379E-3</v>
      </c>
      <c r="E195" s="126">
        <f t="shared" si="47"/>
        <v>0.15274945868553252</v>
      </c>
      <c r="F195" s="90" t="str">
        <f t="shared" si="40"/>
        <v/>
      </c>
      <c r="G195" s="61">
        <f t="shared" si="41"/>
        <v>7.3787661567743665E-5</v>
      </c>
      <c r="I195" s="61">
        <f t="shared" si="42"/>
        <v>7.8924628270223232E-5</v>
      </c>
      <c r="J195" s="61">
        <f t="shared" si="32"/>
        <v>0.88839534144559329</v>
      </c>
      <c r="K195" s="61">
        <f t="shared" si="33"/>
        <v>14.102838836240119</v>
      </c>
      <c r="L195" s="225">
        <f t="shared" si="43"/>
        <v>0.1410283883624012</v>
      </c>
      <c r="N195" s="95">
        <f t="shared" si="34"/>
        <v>1.461280299543575</v>
      </c>
      <c r="O195" s="95">
        <f t="shared" si="35"/>
        <v>2.0667166138797426</v>
      </c>
      <c r="P195" s="95">
        <f t="shared" si="36"/>
        <v>1.8325044489297602</v>
      </c>
      <c r="Q195" s="95">
        <f t="shared" si="37"/>
        <v>2.367763897309763</v>
      </c>
      <c r="R195" s="96">
        <f t="shared" si="44"/>
        <v>0</v>
      </c>
      <c r="S195" s="96">
        <f t="shared" si="45"/>
        <v>0</v>
      </c>
      <c r="Z195" s="61">
        <f t="shared" si="38"/>
        <v>-1.461280299543575</v>
      </c>
      <c r="AA195" s="61">
        <f t="shared" si="39"/>
        <v>-2.0667166138797426</v>
      </c>
    </row>
    <row r="196" spans="2:27" ht="17" x14ac:dyDescent="0.2">
      <c r="B196" s="104" t="str">
        <f>'1.RETURNS'!A197</f>
        <v>28-Sep-2023</v>
      </c>
      <c r="C196" s="226">
        <f>'1.RETURNS'!D197</f>
        <v>2.4329453622777822E-3</v>
      </c>
      <c r="D196" s="127">
        <f t="shared" si="46"/>
        <v>9.6058714423929333E-3</v>
      </c>
      <c r="E196" s="128">
        <f t="shared" si="47"/>
        <v>0.15248848177577409</v>
      </c>
      <c r="F196" s="90" t="str">
        <f t="shared" si="40"/>
        <v/>
      </c>
      <c r="G196" s="61">
        <f t="shared" si="41"/>
        <v>5.9192231358289689E-6</v>
      </c>
      <c r="I196" s="61">
        <f t="shared" si="42"/>
        <v>7.7464700186464109E-5</v>
      </c>
      <c r="J196" s="61">
        <f t="shared" ref="J196:J253" si="48">SQRT(I196)*100</f>
        <v>0.88014033077949627</v>
      </c>
      <c r="K196" s="61">
        <f t="shared" ref="K196:K253" si="49">J196*SQRT(252)</f>
        <v>13.97179460448405</v>
      </c>
      <c r="L196" s="225">
        <f t="shared" si="43"/>
        <v>0.1397179460448405</v>
      </c>
      <c r="N196" s="95">
        <f t="shared" ref="N196:N253" si="50">-_xlfn.NORM.S.INV(1-$P$1)*J196</f>
        <v>1.4477020153089224</v>
      </c>
      <c r="O196" s="95">
        <f t="shared" ref="O196:O253" si="51">-_xlfn.NORM.S.INV(1-$R$1)*J196</f>
        <v>2.0475125873664837</v>
      </c>
      <c r="P196" s="95">
        <f t="shared" ref="P196:P253" si="52">_xlfn.NORM.S.DIST(_xlfn.NORM.S.INV(1-$P$1),FALSE)/(1-$P$1)*J196</f>
        <v>1.8154767327026915</v>
      </c>
      <c r="Q196" s="95">
        <f t="shared" ref="Q196:Q253" si="53">_xlfn.NORM.S.DIST(_xlfn.NORM.S.INV(1-$R$1),FALSE)/(1-$R$1)*J196</f>
        <v>2.3457625254933747</v>
      </c>
      <c r="R196" s="96">
        <f t="shared" si="44"/>
        <v>0</v>
      </c>
      <c r="S196" s="96">
        <f t="shared" si="45"/>
        <v>0</v>
      </c>
      <c r="Z196" s="61">
        <f t="shared" ref="Z196:Z253" si="54">-N196</f>
        <v>-1.4477020153089224</v>
      </c>
      <c r="AA196" s="61">
        <f t="shared" ref="AA196:AA253" si="55">-O196</f>
        <v>-2.0475125873664837</v>
      </c>
    </row>
    <row r="197" spans="2:27" ht="17" x14ac:dyDescent="0.2">
      <c r="B197" s="99" t="str">
        <f>'1.RETURNS'!A198</f>
        <v>29-Sep-2023</v>
      </c>
      <c r="C197" s="226">
        <f>'1.RETURNS'!D198</f>
        <v>-1.1820349939107919E-2</v>
      </c>
      <c r="D197" s="125">
        <f t="shared" si="46"/>
        <v>1.0080962727953301E-2</v>
      </c>
      <c r="E197" s="126">
        <f t="shared" si="47"/>
        <v>0.16003032212565432</v>
      </c>
      <c r="F197" s="90" t="str">
        <f t="shared" ref="F197:F253" si="56">IF(E197="—","",IF(E197&gt;=0.25,"■ HIGH VOLATILITY",IF(E197&gt;=0.17,"▲ ELEVATED","")))</f>
        <v/>
      </c>
      <c r="G197" s="61">
        <f t="shared" ref="G197:G253" si="57">C197^2</f>
        <v>1.397206726829686E-4</v>
      </c>
      <c r="I197" s="61">
        <f t="shared" ref="I197:I253" si="58">$I$1+$K$1*G196+$M$1*I196</f>
        <v>6.9436917472077387E-5</v>
      </c>
      <c r="J197" s="61">
        <f t="shared" si="48"/>
        <v>0.83328817027530988</v>
      </c>
      <c r="K197" s="61">
        <f t="shared" si="49"/>
        <v>13.228039614003091</v>
      </c>
      <c r="L197" s="225">
        <f t="shared" ref="L197:L253" si="59">K197/100</f>
        <v>0.1322803961400309</v>
      </c>
      <c r="N197" s="95">
        <f t="shared" si="50"/>
        <v>1.3706370691730989</v>
      </c>
      <c r="O197" s="95">
        <f t="shared" si="51"/>
        <v>1.9385181633833493</v>
      </c>
      <c r="P197" s="95">
        <f t="shared" si="52"/>
        <v>1.7188341811713124</v>
      </c>
      <c r="Q197" s="95">
        <f t="shared" si="53"/>
        <v>2.2208914810636933</v>
      </c>
      <c r="R197" s="96">
        <f t="shared" ref="R197:R253" si="60">IF(C197*100&lt;-N197,1,0)</f>
        <v>0</v>
      </c>
      <c r="S197" s="96">
        <f t="shared" ref="S197:S253" si="61">IF(C197*100&lt;-O197,1,0)</f>
        <v>0</v>
      </c>
      <c r="Z197" s="61">
        <f t="shared" si="54"/>
        <v>-1.3706370691730989</v>
      </c>
      <c r="AA197" s="61">
        <f t="shared" si="55"/>
        <v>-1.9385181633833493</v>
      </c>
    </row>
    <row r="198" spans="2:27" ht="17" x14ac:dyDescent="0.2">
      <c r="B198" s="104" t="str">
        <f>'1.RETURNS'!A199</f>
        <v>02-Oct-2023</v>
      </c>
      <c r="C198" s="226">
        <f>'1.RETURNS'!D199</f>
        <v>2.1989614233091119E-3</v>
      </c>
      <c r="D198" s="127">
        <f t="shared" si="46"/>
        <v>1.0076024466428685E-2</v>
      </c>
      <c r="E198" s="128">
        <f t="shared" si="47"/>
        <v>0.15995192965423552</v>
      </c>
      <c r="F198" s="90" t="str">
        <f t="shared" si="56"/>
        <v/>
      </c>
      <c r="G198" s="61">
        <f t="shared" si="57"/>
        <v>4.8354313412016349E-6</v>
      </c>
      <c r="I198" s="61">
        <f t="shared" si="58"/>
        <v>7.5993447119562636E-5</v>
      </c>
      <c r="J198" s="61">
        <f t="shared" si="48"/>
        <v>0.87174220455110829</v>
      </c>
      <c r="K198" s="61">
        <f t="shared" si="49"/>
        <v>13.838478483608588</v>
      </c>
      <c r="L198" s="225">
        <f t="shared" si="59"/>
        <v>0.13838478483608588</v>
      </c>
      <c r="N198" s="95">
        <f t="shared" si="50"/>
        <v>1.433888326922562</v>
      </c>
      <c r="O198" s="95">
        <f t="shared" si="51"/>
        <v>2.0279756242691467</v>
      </c>
      <c r="P198" s="95">
        <f t="shared" si="52"/>
        <v>1.7981538101723316</v>
      </c>
      <c r="Q198" s="95">
        <f t="shared" si="53"/>
        <v>2.323379720045216</v>
      </c>
      <c r="R198" s="96">
        <f t="shared" si="60"/>
        <v>0</v>
      </c>
      <c r="S198" s="96">
        <f t="shared" si="61"/>
        <v>0</v>
      </c>
      <c r="Z198" s="61">
        <f t="shared" si="54"/>
        <v>-1.433888326922562</v>
      </c>
      <c r="AA198" s="61">
        <f t="shared" si="55"/>
        <v>-2.0279756242691467</v>
      </c>
    </row>
    <row r="199" spans="2:27" ht="17" x14ac:dyDescent="0.2">
      <c r="B199" s="99" t="str">
        <f>'1.RETURNS'!A200</f>
        <v>03-Oct-2023</v>
      </c>
      <c r="C199" s="226">
        <f>'1.RETURNS'!D200</f>
        <v>4.2078971355218606E-3</v>
      </c>
      <c r="D199" s="125">
        <f t="shared" si="46"/>
        <v>9.9463704505546539E-3</v>
      </c>
      <c r="E199" s="126">
        <f t="shared" si="47"/>
        <v>0.15789373595933448</v>
      </c>
      <c r="F199" s="90" t="str">
        <f t="shared" si="56"/>
        <v/>
      </c>
      <c r="G199" s="61">
        <f t="shared" si="57"/>
        <v>1.770639830313308E-5</v>
      </c>
      <c r="I199" s="61">
        <f t="shared" si="58"/>
        <v>6.807797318574841E-5</v>
      </c>
      <c r="J199" s="61">
        <f t="shared" si="48"/>
        <v>0.82509377155416952</v>
      </c>
      <c r="K199" s="61">
        <f t="shared" si="49"/>
        <v>13.097957567044032</v>
      </c>
      <c r="L199" s="225">
        <f t="shared" si="59"/>
        <v>0.13097957567044033</v>
      </c>
      <c r="N199" s="95">
        <f t="shared" si="50"/>
        <v>1.3571584827159446</v>
      </c>
      <c r="O199" s="95">
        <f t="shared" si="51"/>
        <v>1.9194551413393814</v>
      </c>
      <c r="P199" s="95">
        <f t="shared" si="52"/>
        <v>1.7019314899793938</v>
      </c>
      <c r="Q199" s="95">
        <f t="shared" si="53"/>
        <v>2.1990516530649264</v>
      </c>
      <c r="R199" s="96">
        <f t="shared" si="60"/>
        <v>0</v>
      </c>
      <c r="S199" s="96">
        <f t="shared" si="61"/>
        <v>0</v>
      </c>
      <c r="Z199" s="61">
        <f t="shared" si="54"/>
        <v>-1.3571584827159446</v>
      </c>
      <c r="AA199" s="61">
        <f t="shared" si="55"/>
        <v>-1.9194551413393814</v>
      </c>
    </row>
    <row r="200" spans="2:27" ht="17" x14ac:dyDescent="0.2">
      <c r="B200" s="104" t="str">
        <f>'1.RETURNS'!A201</f>
        <v>04-Oct-2023</v>
      </c>
      <c r="C200" s="226">
        <f>'1.RETURNS'!D201</f>
        <v>-8.3146894543242224E-3</v>
      </c>
      <c r="D200" s="127">
        <f t="shared" si="46"/>
        <v>1.0162501379824402E-2</v>
      </c>
      <c r="E200" s="128">
        <f t="shared" si="47"/>
        <v>0.16132470809619673</v>
      </c>
      <c r="F200" s="90" t="str">
        <f t="shared" si="56"/>
        <v/>
      </c>
      <c r="G200" s="61">
        <f t="shared" si="57"/>
        <v>6.9134060721850432E-5</v>
      </c>
      <c r="I200" s="61">
        <f t="shared" si="58"/>
        <v>6.2636917038199448E-5</v>
      </c>
      <c r="J200" s="61">
        <f t="shared" si="48"/>
        <v>0.79143488069581214</v>
      </c>
      <c r="K200" s="61">
        <f t="shared" si="49"/>
        <v>12.563639239339157</v>
      </c>
      <c r="L200" s="225">
        <f t="shared" si="59"/>
        <v>0.12563639239339155</v>
      </c>
      <c r="N200" s="95">
        <f t="shared" si="50"/>
        <v>1.3017945340084118</v>
      </c>
      <c r="O200" s="95">
        <f t="shared" si="51"/>
        <v>1.841152852148469</v>
      </c>
      <c r="P200" s="95">
        <f t="shared" si="52"/>
        <v>1.6325028647193653</v>
      </c>
      <c r="Q200" s="95">
        <f t="shared" si="53"/>
        <v>2.1093434985081649</v>
      </c>
      <c r="R200" s="96">
        <f t="shared" si="60"/>
        <v>0</v>
      </c>
      <c r="S200" s="96">
        <f t="shared" si="61"/>
        <v>0</v>
      </c>
      <c r="Z200" s="61">
        <f t="shared" si="54"/>
        <v>-1.3017945340084118</v>
      </c>
      <c r="AA200" s="61">
        <f t="shared" si="55"/>
        <v>-1.841152852148469</v>
      </c>
    </row>
    <row r="201" spans="2:27" ht="17" x14ac:dyDescent="0.2">
      <c r="B201" s="99" t="str">
        <f>'1.RETURNS'!A202</f>
        <v>05-Oct-2023</v>
      </c>
      <c r="C201" s="226">
        <f>'1.RETURNS'!D202</f>
        <v>1.8926836644069234E-3</v>
      </c>
      <c r="D201" s="125">
        <f t="shared" si="46"/>
        <v>9.6338966684354869E-3</v>
      </c>
      <c r="E201" s="126">
        <f t="shared" si="47"/>
        <v>0.15293336844704389</v>
      </c>
      <c r="F201" s="90" t="str">
        <f t="shared" si="56"/>
        <v/>
      </c>
      <c r="G201" s="61">
        <f t="shared" si="57"/>
        <v>3.5822514535128195E-6</v>
      </c>
      <c r="I201" s="61">
        <f t="shared" si="58"/>
        <v>6.3154785554654582E-5</v>
      </c>
      <c r="J201" s="61">
        <f t="shared" si="48"/>
        <v>0.79469985248931929</v>
      </c>
      <c r="K201" s="61">
        <f t="shared" si="49"/>
        <v>12.61546905975872</v>
      </c>
      <c r="L201" s="225">
        <f t="shared" si="59"/>
        <v>0.12615469059758719</v>
      </c>
      <c r="N201" s="95">
        <f t="shared" si="50"/>
        <v>1.3071649347048562</v>
      </c>
      <c r="O201" s="95">
        <f t="shared" si="51"/>
        <v>1.8487483123390978</v>
      </c>
      <c r="P201" s="95">
        <f t="shared" si="52"/>
        <v>1.6392375638539829</v>
      </c>
      <c r="Q201" s="95">
        <f t="shared" si="53"/>
        <v>2.1180453477612482</v>
      </c>
      <c r="R201" s="96">
        <f t="shared" si="60"/>
        <v>0</v>
      </c>
      <c r="S201" s="96">
        <f t="shared" si="61"/>
        <v>0</v>
      </c>
      <c r="Z201" s="61">
        <f t="shared" si="54"/>
        <v>-1.3071649347048562</v>
      </c>
      <c r="AA201" s="61">
        <f t="shared" si="55"/>
        <v>-1.8487483123390978</v>
      </c>
    </row>
    <row r="202" spans="2:27" ht="17" x14ac:dyDescent="0.2">
      <c r="B202" s="104" t="str">
        <f>'1.RETURNS'!A203</f>
        <v>06-Oct-2023</v>
      </c>
      <c r="C202" s="226">
        <f>'1.RETURNS'!D203</f>
        <v>8.3275718081626284E-4</v>
      </c>
      <c r="D202" s="127">
        <f t="shared" si="46"/>
        <v>9.6148782952912501E-3</v>
      </c>
      <c r="E202" s="128">
        <f t="shared" si="47"/>
        <v>0.15263146113295981</v>
      </c>
      <c r="F202" s="90" t="str">
        <f t="shared" si="56"/>
        <v/>
      </c>
      <c r="G202" s="61">
        <f t="shared" si="57"/>
        <v>6.9348452220104992E-7</v>
      </c>
      <c r="I202" s="61">
        <f t="shared" si="58"/>
        <v>5.703979286680767E-5</v>
      </c>
      <c r="J202" s="61">
        <f t="shared" si="48"/>
        <v>0.75524693224671668</v>
      </c>
      <c r="K202" s="61">
        <f t="shared" si="49"/>
        <v>11.989173367015566</v>
      </c>
      <c r="L202" s="225">
        <f t="shared" si="59"/>
        <v>0.11989173367015565</v>
      </c>
      <c r="N202" s="95">
        <f t="shared" si="50"/>
        <v>1.2422706557499843</v>
      </c>
      <c r="O202" s="95">
        <f t="shared" si="51"/>
        <v>1.7569670952080163</v>
      </c>
      <c r="P202" s="95">
        <f t="shared" si="52"/>
        <v>1.5578575199759974</v>
      </c>
      <c r="Q202" s="95">
        <f t="shared" si="53"/>
        <v>2.0128948636964945</v>
      </c>
      <c r="R202" s="96">
        <f t="shared" si="60"/>
        <v>0</v>
      </c>
      <c r="S202" s="96">
        <f t="shared" si="61"/>
        <v>0</v>
      </c>
      <c r="Z202" s="61">
        <f t="shared" si="54"/>
        <v>-1.2422706557499843</v>
      </c>
      <c r="AA202" s="61">
        <f t="shared" si="55"/>
        <v>-1.7569670952080163</v>
      </c>
    </row>
    <row r="203" spans="2:27" ht="17" x14ac:dyDescent="0.2">
      <c r="B203" s="99" t="str">
        <f>'1.RETURNS'!A204</f>
        <v>09-Oct-2023</v>
      </c>
      <c r="C203" s="226">
        <f>'1.RETURNS'!D204</f>
        <v>-1.1222078721036192E-2</v>
      </c>
      <c r="D203" s="125">
        <f t="shared" si="46"/>
        <v>7.6496952793841397E-3</v>
      </c>
      <c r="E203" s="126">
        <f t="shared" si="47"/>
        <v>0.1214351478880512</v>
      </c>
      <c r="F203" s="90" t="str">
        <f t="shared" si="56"/>
        <v/>
      </c>
      <c r="G203" s="61">
        <f t="shared" si="57"/>
        <v>1.2593505082113331E-4</v>
      </c>
      <c r="I203" s="61">
        <f t="shared" si="58"/>
        <v>5.155317238900662E-5</v>
      </c>
      <c r="J203" s="61">
        <f t="shared" si="48"/>
        <v>0.71800537873338122</v>
      </c>
      <c r="K203" s="61">
        <f t="shared" si="49"/>
        <v>11.397982032811628</v>
      </c>
      <c r="L203" s="225">
        <f t="shared" si="59"/>
        <v>0.11397982032811628</v>
      </c>
      <c r="N203" s="95">
        <f t="shared" si="50"/>
        <v>1.181013751380267</v>
      </c>
      <c r="O203" s="95">
        <f t="shared" si="51"/>
        <v>1.6703302863662901</v>
      </c>
      <c r="P203" s="95">
        <f t="shared" si="52"/>
        <v>1.4810388905725671</v>
      </c>
      <c r="Q203" s="95">
        <f t="shared" si="53"/>
        <v>1.9136381456849836</v>
      </c>
      <c r="R203" s="96">
        <f t="shared" si="60"/>
        <v>0</v>
      </c>
      <c r="S203" s="96">
        <f t="shared" si="61"/>
        <v>0</v>
      </c>
      <c r="Z203" s="61">
        <f t="shared" si="54"/>
        <v>-1.181013751380267</v>
      </c>
      <c r="AA203" s="61">
        <f t="shared" si="55"/>
        <v>-1.6703302863662901</v>
      </c>
    </row>
    <row r="204" spans="2:27" ht="17" x14ac:dyDescent="0.2">
      <c r="B204" s="104" t="str">
        <f>'1.RETURNS'!A205</f>
        <v>10-Oct-2023</v>
      </c>
      <c r="C204" s="226">
        <f>'1.RETURNS'!D205</f>
        <v>4.2560729739904799E-3</v>
      </c>
      <c r="D204" s="127">
        <f t="shared" si="46"/>
        <v>7.4143643548932221E-3</v>
      </c>
      <c r="E204" s="128">
        <f t="shared" si="47"/>
        <v>0.11769938527601587</v>
      </c>
      <c r="F204" s="90" t="str">
        <f t="shared" si="56"/>
        <v/>
      </c>
      <c r="G204" s="61">
        <f t="shared" si="57"/>
        <v>1.8114157159932169E-5</v>
      </c>
      <c r="I204" s="61">
        <f t="shared" si="58"/>
        <v>5.9413701612768956E-5</v>
      </c>
      <c r="J204" s="61">
        <f t="shared" si="48"/>
        <v>0.7708028386868393</v>
      </c>
      <c r="K204" s="61">
        <f t="shared" si="49"/>
        <v>12.23611572616808</v>
      </c>
      <c r="L204" s="225">
        <f t="shared" si="59"/>
        <v>0.1223611572616808</v>
      </c>
      <c r="N204" s="95">
        <f t="shared" si="50"/>
        <v>1.2678578448785376</v>
      </c>
      <c r="O204" s="95">
        <f t="shared" si="51"/>
        <v>1.7931555450837737</v>
      </c>
      <c r="P204" s="95">
        <f t="shared" si="52"/>
        <v>1.5899448874224258</v>
      </c>
      <c r="Q204" s="95">
        <f t="shared" si="53"/>
        <v>2.0543546867510782</v>
      </c>
      <c r="R204" s="96">
        <f t="shared" si="60"/>
        <v>0</v>
      </c>
      <c r="S204" s="96">
        <f t="shared" si="61"/>
        <v>0</v>
      </c>
      <c r="Z204" s="61">
        <f t="shared" si="54"/>
        <v>-1.2678578448785376</v>
      </c>
      <c r="AA204" s="61">
        <f t="shared" si="55"/>
        <v>-1.7931555450837737</v>
      </c>
    </row>
    <row r="205" spans="2:27" ht="17" x14ac:dyDescent="0.2">
      <c r="B205" s="99" t="str">
        <f>'1.RETURNS'!A206</f>
        <v>11-Oct-2023</v>
      </c>
      <c r="C205" s="226">
        <f>'1.RETURNS'!D206</f>
        <v>6.0625584539794972E-3</v>
      </c>
      <c r="D205" s="125">
        <f t="shared" si="46"/>
        <v>7.4340949003365766E-3</v>
      </c>
      <c r="E205" s="126">
        <f t="shared" si="47"/>
        <v>0.11801259797486451</v>
      </c>
      <c r="F205" s="90" t="str">
        <f t="shared" si="56"/>
        <v/>
      </c>
      <c r="G205" s="61">
        <f t="shared" si="57"/>
        <v>3.675461500791827E-5</v>
      </c>
      <c r="I205" s="61">
        <f t="shared" si="58"/>
        <v>5.531306208684683E-5</v>
      </c>
      <c r="J205" s="61">
        <f t="shared" si="48"/>
        <v>0.74372751789110791</v>
      </c>
      <c r="K205" s="61">
        <f t="shared" si="49"/>
        <v>11.806308333211275</v>
      </c>
      <c r="L205" s="225">
        <f t="shared" si="59"/>
        <v>0.11806308333211275</v>
      </c>
      <c r="N205" s="95">
        <f t="shared" si="50"/>
        <v>1.2233229052668042</v>
      </c>
      <c r="O205" s="95">
        <f t="shared" si="51"/>
        <v>1.7301689301116503</v>
      </c>
      <c r="P205" s="95">
        <f t="shared" si="52"/>
        <v>1.5340962764496984</v>
      </c>
      <c r="Q205" s="95">
        <f t="shared" si="53"/>
        <v>1.9821931567458706</v>
      </c>
      <c r="R205" s="96">
        <f t="shared" si="60"/>
        <v>0</v>
      </c>
      <c r="S205" s="96">
        <f t="shared" si="61"/>
        <v>0</v>
      </c>
      <c r="Z205" s="61">
        <f t="shared" si="54"/>
        <v>-1.2233229052668042</v>
      </c>
      <c r="AA205" s="61">
        <f t="shared" si="55"/>
        <v>-1.7301689301116503</v>
      </c>
    </row>
    <row r="206" spans="2:27" ht="17" x14ac:dyDescent="0.2">
      <c r="B206" s="104" t="str">
        <f>'1.RETURNS'!A207</f>
        <v>12-Oct-2023</v>
      </c>
      <c r="C206" s="226">
        <f>'1.RETURNS'!D207</f>
        <v>1.1337198644370486E-2</v>
      </c>
      <c r="D206" s="127">
        <f t="shared" si="46"/>
        <v>7.58501276317043E-3</v>
      </c>
      <c r="E206" s="128">
        <f t="shared" si="47"/>
        <v>0.12040834477559892</v>
      </c>
      <c r="F206" s="90" t="str">
        <f t="shared" si="56"/>
        <v/>
      </c>
      <c r="G206" s="61">
        <f t="shared" si="57"/>
        <v>1.2853207310191598E-4</v>
      </c>
      <c r="I206" s="61">
        <f t="shared" si="58"/>
        <v>5.3691564274611633E-5</v>
      </c>
      <c r="J206" s="61">
        <f t="shared" si="48"/>
        <v>0.7327452782148216</v>
      </c>
      <c r="K206" s="61">
        <f t="shared" si="49"/>
        <v>11.631970683079516</v>
      </c>
      <c r="L206" s="225">
        <f t="shared" si="59"/>
        <v>0.11631970683079515</v>
      </c>
      <c r="N206" s="95">
        <f t="shared" si="50"/>
        <v>1.2052587285032144</v>
      </c>
      <c r="O206" s="95">
        <f t="shared" si="51"/>
        <v>1.7046204201885147</v>
      </c>
      <c r="P206" s="95">
        <f t="shared" si="52"/>
        <v>1.5114430700143064</v>
      </c>
      <c r="Q206" s="95">
        <f t="shared" si="53"/>
        <v>1.9529231353893863</v>
      </c>
      <c r="R206" s="96">
        <f t="shared" si="60"/>
        <v>0</v>
      </c>
      <c r="S206" s="96">
        <f t="shared" si="61"/>
        <v>0</v>
      </c>
      <c r="Z206" s="61">
        <f t="shared" si="54"/>
        <v>-1.2052587285032144</v>
      </c>
      <c r="AA206" s="61">
        <f t="shared" si="55"/>
        <v>-1.7046204201885147</v>
      </c>
    </row>
    <row r="207" spans="2:27" ht="17" x14ac:dyDescent="0.2">
      <c r="B207" s="99" t="str">
        <f>'1.RETURNS'!A208</f>
        <v>13-Oct-2023</v>
      </c>
      <c r="C207" s="226">
        <f>'1.RETURNS'!D208</f>
        <v>1.1649393177382806E-2</v>
      </c>
      <c r="D207" s="125">
        <f t="shared" si="46"/>
        <v>7.9360266562570718E-3</v>
      </c>
      <c r="E207" s="126">
        <f t="shared" si="47"/>
        <v>0.12598051758261414</v>
      </c>
      <c r="F207" s="90" t="str">
        <f t="shared" si="56"/>
        <v/>
      </c>
      <c r="G207" s="61">
        <f t="shared" si="57"/>
        <v>1.3570836140125306E-4</v>
      </c>
      <c r="I207" s="61">
        <f t="shared" si="58"/>
        <v>6.1491036943611484E-5</v>
      </c>
      <c r="J207" s="61">
        <f t="shared" si="48"/>
        <v>0.78416220862530406</v>
      </c>
      <c r="K207" s="61">
        <f t="shared" si="49"/>
        <v>12.44818914934622</v>
      </c>
      <c r="L207" s="225">
        <f t="shared" si="59"/>
        <v>0.1244818914934622</v>
      </c>
      <c r="N207" s="95">
        <f t="shared" si="50"/>
        <v>1.2898320529756078</v>
      </c>
      <c r="O207" s="95">
        <f t="shared" si="51"/>
        <v>1.8242340869386464</v>
      </c>
      <c r="P207" s="95">
        <f t="shared" si="52"/>
        <v>1.6175014308947266</v>
      </c>
      <c r="Q207" s="95">
        <f t="shared" si="53"/>
        <v>2.0899602694859349</v>
      </c>
      <c r="R207" s="96">
        <f t="shared" si="60"/>
        <v>0</v>
      </c>
      <c r="S207" s="96">
        <f t="shared" si="61"/>
        <v>0</v>
      </c>
      <c r="Z207" s="61">
        <f t="shared" si="54"/>
        <v>-1.2898320529756078</v>
      </c>
      <c r="AA207" s="61">
        <f t="shared" si="55"/>
        <v>-1.8242340869386464</v>
      </c>
    </row>
    <row r="208" spans="2:27" ht="17" x14ac:dyDescent="0.2">
      <c r="B208" s="104" t="str">
        <f>'1.RETURNS'!A209</f>
        <v>16-Oct-2023</v>
      </c>
      <c r="C208" s="226">
        <f>'1.RETURNS'!D209</f>
        <v>-1.4504209553333199E-2</v>
      </c>
      <c r="D208" s="127">
        <f t="shared" si="46"/>
        <v>8.5813895336935252E-3</v>
      </c>
      <c r="E208" s="128">
        <f t="shared" si="47"/>
        <v>0.13622533565715361</v>
      </c>
      <c r="F208" s="90" t="str">
        <f t="shared" si="56"/>
        <v/>
      </c>
      <c r="G208" s="61">
        <f t="shared" si="57"/>
        <v>2.1037209476700204E-4</v>
      </c>
      <c r="I208" s="61">
        <f t="shared" si="58"/>
        <v>6.8838217542195067E-5</v>
      </c>
      <c r="J208" s="61">
        <f t="shared" si="48"/>
        <v>0.82968799884170363</v>
      </c>
      <c r="K208" s="61">
        <f t="shared" si="49"/>
        <v>13.170888664259964</v>
      </c>
      <c r="L208" s="225">
        <f t="shared" si="59"/>
        <v>0.13170888664259964</v>
      </c>
      <c r="N208" s="95">
        <f t="shared" si="50"/>
        <v>1.3647153141328845</v>
      </c>
      <c r="O208" s="95">
        <f t="shared" si="51"/>
        <v>1.9301429122225968</v>
      </c>
      <c r="P208" s="95">
        <f t="shared" si="52"/>
        <v>1.7114080614459906</v>
      </c>
      <c r="Q208" s="95">
        <f t="shared" si="53"/>
        <v>2.2112962529631628</v>
      </c>
      <c r="R208" s="96">
        <f t="shared" si="60"/>
        <v>1</v>
      </c>
      <c r="S208" s="96">
        <f t="shared" si="61"/>
        <v>0</v>
      </c>
      <c r="Z208" s="61">
        <f t="shared" si="54"/>
        <v>-1.3647153141328845</v>
      </c>
      <c r="AA208" s="61">
        <f t="shared" si="55"/>
        <v>-1.9301429122225968</v>
      </c>
    </row>
    <row r="209" spans="2:27" ht="17" x14ac:dyDescent="0.2">
      <c r="B209" s="99" t="str">
        <f>'1.RETURNS'!A210</f>
        <v>17-Oct-2023</v>
      </c>
      <c r="C209" s="226">
        <f>'1.RETURNS'!D210</f>
        <v>-9.9301034976918799E-3</v>
      </c>
      <c r="D209" s="125">
        <f t="shared" si="46"/>
        <v>8.6144189585734381E-3</v>
      </c>
      <c r="E209" s="126">
        <f t="shared" si="47"/>
        <v>0.13674966152223203</v>
      </c>
      <c r="F209" s="90" t="str">
        <f t="shared" si="56"/>
        <v/>
      </c>
      <c r="G209" s="61">
        <f t="shared" si="57"/>
        <v>9.8606955474872505E-5</v>
      </c>
      <c r="I209" s="61">
        <f t="shared" si="58"/>
        <v>8.2549694387566014E-5</v>
      </c>
      <c r="J209" s="61">
        <f t="shared" si="48"/>
        <v>0.90856862364692081</v>
      </c>
      <c r="K209" s="61">
        <f t="shared" si="49"/>
        <v>14.423079763235949</v>
      </c>
      <c r="L209" s="225">
        <f t="shared" si="59"/>
        <v>0.14423079763235949</v>
      </c>
      <c r="N209" s="95">
        <f t="shared" si="50"/>
        <v>1.4944623959399441</v>
      </c>
      <c r="O209" s="95">
        <f t="shared" si="51"/>
        <v>2.1136466860412271</v>
      </c>
      <c r="P209" s="95">
        <f t="shared" si="52"/>
        <v>1.8741161364959</v>
      </c>
      <c r="Q209" s="95">
        <f t="shared" si="53"/>
        <v>2.42153001590379</v>
      </c>
      <c r="R209" s="96">
        <f t="shared" si="60"/>
        <v>0</v>
      </c>
      <c r="S209" s="96">
        <f t="shared" si="61"/>
        <v>0</v>
      </c>
      <c r="Z209" s="61">
        <f t="shared" si="54"/>
        <v>-1.4944623959399441</v>
      </c>
      <c r="AA209" s="61">
        <f t="shared" si="55"/>
        <v>-2.1136466860412271</v>
      </c>
    </row>
    <row r="210" spans="2:27" ht="17" x14ac:dyDescent="0.2">
      <c r="B210" s="104" t="str">
        <f>'1.RETURNS'!A211</f>
        <v>18-Oct-2023</v>
      </c>
      <c r="C210" s="226">
        <f>'1.RETURNS'!D211</f>
        <v>5.9467640194596303E-3</v>
      </c>
      <c r="D210" s="127">
        <f t="shared" si="46"/>
        <v>8.6420816904552028E-3</v>
      </c>
      <c r="E210" s="128">
        <f t="shared" si="47"/>
        <v>0.13718879377709489</v>
      </c>
      <c r="F210" s="90" t="str">
        <f t="shared" si="56"/>
        <v/>
      </c>
      <c r="G210" s="61">
        <f t="shared" si="57"/>
        <v>3.5364002303139656E-5</v>
      </c>
      <c r="I210" s="61">
        <f t="shared" si="58"/>
        <v>8.3027935776918359E-5</v>
      </c>
      <c r="J210" s="61">
        <f t="shared" si="48"/>
        <v>0.91119666250990172</v>
      </c>
      <c r="K210" s="61">
        <f t="shared" si="49"/>
        <v>14.464798586839512</v>
      </c>
      <c r="L210" s="225">
        <f t="shared" si="59"/>
        <v>0.14464798586839511</v>
      </c>
      <c r="N210" s="95">
        <f t="shared" si="50"/>
        <v>1.4987851351954877</v>
      </c>
      <c r="O210" s="95">
        <f t="shared" si="51"/>
        <v>2.1197604186630192</v>
      </c>
      <c r="P210" s="95">
        <f t="shared" si="52"/>
        <v>1.8795370259171982</v>
      </c>
      <c r="Q210" s="95">
        <f t="shared" si="53"/>
        <v>2.4285343024530279</v>
      </c>
      <c r="R210" s="96">
        <f t="shared" si="60"/>
        <v>0</v>
      </c>
      <c r="S210" s="96">
        <f t="shared" si="61"/>
        <v>0</v>
      </c>
      <c r="Z210" s="61">
        <f t="shared" si="54"/>
        <v>-1.4987851351954877</v>
      </c>
      <c r="AA210" s="61">
        <f t="shared" si="55"/>
        <v>-2.1197604186630192</v>
      </c>
    </row>
    <row r="211" spans="2:27" ht="17" x14ac:dyDescent="0.2">
      <c r="B211" s="99" t="str">
        <f>'1.RETURNS'!A212</f>
        <v>19-Oct-2023</v>
      </c>
      <c r="C211" s="226">
        <f>'1.RETURNS'!D212</f>
        <v>5.6692165333906775E-3</v>
      </c>
      <c r="D211" s="125">
        <f t="shared" si="46"/>
        <v>8.7807769852127609E-3</v>
      </c>
      <c r="E211" s="126">
        <f t="shared" si="47"/>
        <v>0.13939051332475469</v>
      </c>
      <c r="F211" s="90" t="str">
        <f t="shared" si="56"/>
        <v/>
      </c>
      <c r="G211" s="61">
        <f t="shared" si="57"/>
        <v>3.2140016102470208E-5</v>
      </c>
      <c r="I211" s="61">
        <f t="shared" si="58"/>
        <v>7.7110145640694571E-5</v>
      </c>
      <c r="J211" s="61">
        <f t="shared" si="48"/>
        <v>0.87812382749071649</v>
      </c>
      <c r="K211" s="61">
        <f t="shared" si="49"/>
        <v>13.939783607163719</v>
      </c>
      <c r="L211" s="225">
        <f t="shared" si="59"/>
        <v>0.13939783607163719</v>
      </c>
      <c r="N211" s="95">
        <f t="shared" si="50"/>
        <v>1.4443851625606132</v>
      </c>
      <c r="O211" s="95">
        <f t="shared" si="51"/>
        <v>2.0428214992276343</v>
      </c>
      <c r="P211" s="95">
        <f t="shared" si="52"/>
        <v>1.8113172655425445</v>
      </c>
      <c r="Q211" s="95">
        <f t="shared" si="53"/>
        <v>2.3403881122527448</v>
      </c>
      <c r="R211" s="96">
        <f t="shared" si="60"/>
        <v>0</v>
      </c>
      <c r="S211" s="96">
        <f t="shared" si="61"/>
        <v>0</v>
      </c>
      <c r="Z211" s="61">
        <f t="shared" si="54"/>
        <v>-1.4443851625606132</v>
      </c>
      <c r="AA211" s="61">
        <f t="shared" si="55"/>
        <v>-2.0428214992276343</v>
      </c>
    </row>
    <row r="212" spans="2:27" ht="17" x14ac:dyDescent="0.2">
      <c r="B212" s="104" t="str">
        <f>'1.RETURNS'!A213</f>
        <v>20-Oct-2023</v>
      </c>
      <c r="C212" s="226">
        <f>'1.RETURNS'!D213</f>
        <v>5.7490828885752975E-3</v>
      </c>
      <c r="D212" s="127">
        <f t="shared" si="46"/>
        <v>8.7508568854760254E-3</v>
      </c>
      <c r="E212" s="128">
        <f t="shared" si="47"/>
        <v>0.13891554646612078</v>
      </c>
      <c r="F212" s="90" t="str">
        <f t="shared" si="56"/>
        <v/>
      </c>
      <c r="G212" s="61">
        <f t="shared" si="57"/>
        <v>3.3051954059709286E-5</v>
      </c>
      <c r="I212" s="61">
        <f t="shared" si="58"/>
        <v>7.1757625404837399E-5</v>
      </c>
      <c r="J212" s="61">
        <f t="shared" si="48"/>
        <v>0.84709872745056936</v>
      </c>
      <c r="K212" s="61">
        <f t="shared" si="49"/>
        <v>13.447275412520941</v>
      </c>
      <c r="L212" s="225">
        <f t="shared" si="59"/>
        <v>0.13447275412520943</v>
      </c>
      <c r="N212" s="95">
        <f t="shared" si="50"/>
        <v>1.393353414233045</v>
      </c>
      <c r="O212" s="95">
        <f t="shared" si="51"/>
        <v>1.9706463237073337</v>
      </c>
      <c r="P212" s="95">
        <f t="shared" si="52"/>
        <v>1.7473213943355337</v>
      </c>
      <c r="Q212" s="95">
        <f t="shared" si="53"/>
        <v>2.2576995744380937</v>
      </c>
      <c r="R212" s="96">
        <f t="shared" si="60"/>
        <v>0</v>
      </c>
      <c r="S212" s="96">
        <f t="shared" si="61"/>
        <v>0</v>
      </c>
      <c r="Z212" s="61">
        <f t="shared" si="54"/>
        <v>-1.393353414233045</v>
      </c>
      <c r="AA212" s="61">
        <f t="shared" si="55"/>
        <v>-1.9706463237073337</v>
      </c>
    </row>
    <row r="213" spans="2:27" ht="17" x14ac:dyDescent="0.2">
      <c r="B213" s="99" t="str">
        <f>'1.RETURNS'!A214</f>
        <v>23-Oct-2023</v>
      </c>
      <c r="C213" s="226">
        <f>'1.RETURNS'!D214</f>
        <v>4.1351031865498641E-2</v>
      </c>
      <c r="D213" s="125">
        <f t="shared" si="46"/>
        <v>1.2081183005909664E-2</v>
      </c>
      <c r="E213" s="126">
        <f t="shared" si="47"/>
        <v>0.19178283466258048</v>
      </c>
      <c r="F213" s="90" t="str">
        <f t="shared" si="56"/>
        <v>▲ ELEVATED</v>
      </c>
      <c r="G213" s="61">
        <f t="shared" si="57"/>
        <v>1.709907836341484E-3</v>
      </c>
      <c r="I213" s="61">
        <f t="shared" si="58"/>
        <v>6.7299177000082716E-5</v>
      </c>
      <c r="J213" s="61">
        <f t="shared" si="48"/>
        <v>0.82036075600971248</v>
      </c>
      <c r="K213" s="61">
        <f t="shared" si="49"/>
        <v>13.022823274551813</v>
      </c>
      <c r="L213" s="225">
        <f t="shared" si="59"/>
        <v>0.13022823274551812</v>
      </c>
      <c r="N213" s="95">
        <f t="shared" si="50"/>
        <v>1.3493733649312267</v>
      </c>
      <c r="O213" s="95">
        <f t="shared" si="51"/>
        <v>1.9084445006897315</v>
      </c>
      <c r="P213" s="95">
        <f t="shared" si="52"/>
        <v>1.6921686381977104</v>
      </c>
      <c r="Q213" s="95">
        <f t="shared" si="53"/>
        <v>2.1864371527307216</v>
      </c>
      <c r="R213" s="96">
        <f t="shared" si="60"/>
        <v>0</v>
      </c>
      <c r="S213" s="96">
        <f t="shared" si="61"/>
        <v>0</v>
      </c>
      <c r="Z213" s="61">
        <f t="shared" si="54"/>
        <v>-1.3493733649312267</v>
      </c>
      <c r="AA213" s="61">
        <f t="shared" si="55"/>
        <v>-1.9084445006897315</v>
      </c>
    </row>
    <row r="214" spans="2:27" ht="17" x14ac:dyDescent="0.2">
      <c r="B214" s="104" t="str">
        <f>'1.RETURNS'!A215</f>
        <v>24-Oct-2023</v>
      </c>
      <c r="C214" s="226">
        <f>'1.RETURNS'!D215</f>
        <v>8.5110735661844388E-3</v>
      </c>
      <c r="D214" s="127">
        <f t="shared" si="46"/>
        <v>1.2012556946065031E-2</v>
      </c>
      <c r="E214" s="128">
        <f t="shared" si="47"/>
        <v>0.19069342973573766</v>
      </c>
      <c r="F214" s="90" t="str">
        <f t="shared" si="56"/>
        <v>▲ ELEVATED</v>
      </c>
      <c r="G214" s="61">
        <f t="shared" si="57"/>
        <v>7.2438373249003496E-5</v>
      </c>
      <c r="I214" s="61">
        <f t="shared" si="58"/>
        <v>2.3119508408421871E-4</v>
      </c>
      <c r="J214" s="61">
        <f t="shared" si="48"/>
        <v>1.5205100594347236</v>
      </c>
      <c r="K214" s="61">
        <f t="shared" si="49"/>
        <v>24.137348899417912</v>
      </c>
      <c r="L214" s="225">
        <f t="shared" si="59"/>
        <v>0.24137348899417913</v>
      </c>
      <c r="N214" s="95">
        <f t="shared" si="50"/>
        <v>2.5010164860774027</v>
      </c>
      <c r="O214" s="95">
        <f t="shared" si="51"/>
        <v>3.5372353442236819</v>
      </c>
      <c r="P214" s="95">
        <f t="shared" si="52"/>
        <v>3.1363755735398855</v>
      </c>
      <c r="Q214" s="95">
        <f t="shared" si="53"/>
        <v>4.0524850325842721</v>
      </c>
      <c r="R214" s="96">
        <f t="shared" si="60"/>
        <v>0</v>
      </c>
      <c r="S214" s="96">
        <f t="shared" si="61"/>
        <v>0</v>
      </c>
      <c r="Z214" s="61">
        <f t="shared" si="54"/>
        <v>-2.5010164860774027</v>
      </c>
      <c r="AA214" s="61">
        <f t="shared" si="55"/>
        <v>-3.5372353442236819</v>
      </c>
    </row>
    <row r="215" spans="2:27" ht="17" x14ac:dyDescent="0.2">
      <c r="B215" s="99" t="str">
        <f>'1.RETURNS'!A216</f>
        <v>25-Oct-2023</v>
      </c>
      <c r="C215" s="226">
        <f>'1.RETURNS'!D216</f>
        <v>1.2512085499561955E-2</v>
      </c>
      <c r="D215" s="125">
        <f t="shared" ref="D215:D253" si="62">STDEV(C196:C215)</f>
        <v>1.2135791855313981E-2</v>
      </c>
      <c r="E215" s="126">
        <f t="shared" ref="E215:E253" si="63">D215*SQRT(252)</f>
        <v>0.19264972327202368</v>
      </c>
      <c r="F215" s="90" t="str">
        <f t="shared" si="56"/>
        <v>▲ ELEVATED</v>
      </c>
      <c r="G215" s="61">
        <f t="shared" si="57"/>
        <v>1.5655228354834855E-4</v>
      </c>
      <c r="I215" s="61">
        <f t="shared" si="58"/>
        <v>2.0675965879648627E-4</v>
      </c>
      <c r="J215" s="61">
        <f t="shared" si="48"/>
        <v>1.4379139709888289</v>
      </c>
      <c r="K215" s="61">
        <f t="shared" si="49"/>
        <v>22.826176643650715</v>
      </c>
      <c r="L215" s="225">
        <f t="shared" si="59"/>
        <v>0.22826176643650714</v>
      </c>
      <c r="N215" s="95">
        <f t="shared" si="50"/>
        <v>2.3651580104251684</v>
      </c>
      <c r="O215" s="95">
        <f t="shared" si="51"/>
        <v>3.3450881094634854</v>
      </c>
      <c r="P215" s="95">
        <f t="shared" si="52"/>
        <v>2.9660035640525222</v>
      </c>
      <c r="Q215" s="95">
        <f t="shared" si="53"/>
        <v>3.8323487631133331</v>
      </c>
      <c r="R215" s="96">
        <f t="shared" si="60"/>
        <v>0</v>
      </c>
      <c r="S215" s="96">
        <f t="shared" si="61"/>
        <v>0</v>
      </c>
      <c r="Z215" s="61">
        <f t="shared" si="54"/>
        <v>-2.3651580104251684</v>
      </c>
      <c r="AA215" s="61">
        <f t="shared" si="55"/>
        <v>-3.3450881094634854</v>
      </c>
    </row>
    <row r="216" spans="2:27" ht="17" x14ac:dyDescent="0.2">
      <c r="B216" s="104" t="str">
        <f>'1.RETURNS'!A217</f>
        <v>26-Oct-2023</v>
      </c>
      <c r="C216" s="226">
        <f>'1.RETURNS'!D217</f>
        <v>1.1155349877315108E-2</v>
      </c>
      <c r="D216" s="127">
        <f t="shared" si="62"/>
        <v>1.2253815578636845E-2</v>
      </c>
      <c r="E216" s="128">
        <f t="shared" si="63"/>
        <v>0.19452329179633282</v>
      </c>
      <c r="F216" s="90" t="str">
        <f t="shared" si="56"/>
        <v>▲ ELEVATED</v>
      </c>
      <c r="G216" s="61">
        <f t="shared" si="57"/>
        <v>1.244418308853142E-4</v>
      </c>
      <c r="I216" s="61">
        <f t="shared" si="58"/>
        <v>1.9440093833184816E-4</v>
      </c>
      <c r="J216" s="61">
        <f t="shared" si="48"/>
        <v>1.394277369578407</v>
      </c>
      <c r="K216" s="61">
        <f t="shared" si="49"/>
        <v>22.133467071298554</v>
      </c>
      <c r="L216" s="225">
        <f t="shared" si="59"/>
        <v>0.22133467071298554</v>
      </c>
      <c r="N216" s="95">
        <f t="shared" si="50"/>
        <v>2.2933821883274002</v>
      </c>
      <c r="O216" s="95">
        <f t="shared" si="51"/>
        <v>3.2435741945419827</v>
      </c>
      <c r="P216" s="95">
        <f t="shared" si="52"/>
        <v>2.8759937874471482</v>
      </c>
      <c r="Q216" s="95">
        <f t="shared" si="53"/>
        <v>3.716047872506715</v>
      </c>
      <c r="R216" s="96">
        <f t="shared" si="60"/>
        <v>0</v>
      </c>
      <c r="S216" s="96">
        <f t="shared" si="61"/>
        <v>0</v>
      </c>
      <c r="Z216" s="61">
        <f t="shared" si="54"/>
        <v>-2.2933821883274002</v>
      </c>
      <c r="AA216" s="61">
        <f t="shared" si="55"/>
        <v>-3.2435741945419827</v>
      </c>
    </row>
    <row r="217" spans="2:27" ht="17" x14ac:dyDescent="0.2">
      <c r="B217" s="99" t="str">
        <f>'1.RETURNS'!A218</f>
        <v>27-Oct-2023</v>
      </c>
      <c r="C217" s="226">
        <f>'1.RETURNS'!D218</f>
        <v>7.5371722364892275E-3</v>
      </c>
      <c r="D217" s="125">
        <f t="shared" si="62"/>
        <v>1.1700690407303543E-2</v>
      </c>
      <c r="E217" s="126">
        <f t="shared" si="63"/>
        <v>0.18574270191290537</v>
      </c>
      <c r="F217" s="90" t="str">
        <f t="shared" si="56"/>
        <v>▲ ELEVATED</v>
      </c>
      <c r="G217" s="61">
        <f t="shared" si="57"/>
        <v>5.6808965322504022E-5</v>
      </c>
      <c r="I217" s="61">
        <f t="shared" si="58"/>
        <v>1.8068498067060236E-4</v>
      </c>
      <c r="J217" s="61">
        <f t="shared" si="48"/>
        <v>1.3441911347371784</v>
      </c>
      <c r="K217" s="61">
        <f t="shared" si="49"/>
        <v>21.338372742313737</v>
      </c>
      <c r="L217" s="225">
        <f t="shared" si="59"/>
        <v>0.21338372742313738</v>
      </c>
      <c r="N217" s="95">
        <f t="shared" si="50"/>
        <v>2.2109976632884623</v>
      </c>
      <c r="O217" s="95">
        <f t="shared" si="51"/>
        <v>3.1270561886003803</v>
      </c>
      <c r="P217" s="95">
        <f t="shared" si="52"/>
        <v>2.7726802693603214</v>
      </c>
      <c r="Q217" s="95">
        <f t="shared" si="53"/>
        <v>3.582557327164293</v>
      </c>
      <c r="R217" s="96">
        <f t="shared" si="60"/>
        <v>0</v>
      </c>
      <c r="S217" s="96">
        <f t="shared" si="61"/>
        <v>0</v>
      </c>
      <c r="Z217" s="61">
        <f t="shared" si="54"/>
        <v>-2.2109976632884623</v>
      </c>
      <c r="AA217" s="61">
        <f t="shared" si="55"/>
        <v>-3.1270561886003803</v>
      </c>
    </row>
    <row r="218" spans="2:27" ht="17" x14ac:dyDescent="0.2">
      <c r="B218" s="104" t="str">
        <f>'1.RETURNS'!A219</f>
        <v>30-Oct-2023</v>
      </c>
      <c r="C218" s="226">
        <f>'1.RETURNS'!D219</f>
        <v>-2.9510595656663517E-3</v>
      </c>
      <c r="D218" s="127">
        <f t="shared" si="62"/>
        <v>1.1818065865352473E-2</v>
      </c>
      <c r="E218" s="128">
        <f t="shared" si="63"/>
        <v>0.18760597954502395</v>
      </c>
      <c r="F218" s="90" t="str">
        <f t="shared" si="56"/>
        <v>▲ ELEVATED</v>
      </c>
      <c r="G218" s="61">
        <f t="shared" si="57"/>
        <v>8.708752560110876E-6</v>
      </c>
      <c r="I218" s="61">
        <f t="shared" si="58"/>
        <v>1.6226313010226241E-4</v>
      </c>
      <c r="J218" s="61">
        <f t="shared" si="48"/>
        <v>1.2738254594027487</v>
      </c>
      <c r="K218" s="61">
        <f t="shared" si="49"/>
        <v>20.221352275693661</v>
      </c>
      <c r="L218" s="225">
        <f t="shared" si="59"/>
        <v>0.2022135227569366</v>
      </c>
      <c r="N218" s="95">
        <f t="shared" si="50"/>
        <v>2.0952564270017358</v>
      </c>
      <c r="O218" s="95">
        <f t="shared" si="51"/>
        <v>2.963361149380682</v>
      </c>
      <c r="P218" s="95">
        <f t="shared" si="52"/>
        <v>2.6275360896390834</v>
      </c>
      <c r="Q218" s="95">
        <f t="shared" si="53"/>
        <v>3.3950177286387349</v>
      </c>
      <c r="R218" s="96">
        <f t="shared" si="60"/>
        <v>0</v>
      </c>
      <c r="S218" s="96">
        <f t="shared" si="61"/>
        <v>0</v>
      </c>
      <c r="Z218" s="61">
        <f t="shared" si="54"/>
        <v>-2.0952564270017358</v>
      </c>
      <c r="AA218" s="61">
        <f t="shared" si="55"/>
        <v>-2.963361149380682</v>
      </c>
    </row>
    <row r="219" spans="2:27" ht="17" x14ac:dyDescent="0.2">
      <c r="B219" s="99" t="str">
        <f>'1.RETURNS'!A220</f>
        <v>31-Oct-2023</v>
      </c>
      <c r="C219" s="226">
        <f>'1.RETURNS'!D220</f>
        <v>7.7331655324222957E-3</v>
      </c>
      <c r="D219" s="125">
        <f t="shared" si="62"/>
        <v>1.1838379397078734E-2</v>
      </c>
      <c r="E219" s="126">
        <f t="shared" si="63"/>
        <v>0.18792844686420659</v>
      </c>
      <c r="F219" s="90" t="str">
        <f t="shared" si="56"/>
        <v>▲ ELEVATED</v>
      </c>
      <c r="G219" s="61">
        <f t="shared" si="57"/>
        <v>5.980184915184421E-5</v>
      </c>
      <c r="I219" s="61">
        <f t="shared" si="58"/>
        <v>1.4179453584293414E-4</v>
      </c>
      <c r="J219" s="61">
        <f t="shared" si="48"/>
        <v>1.1907751082506475</v>
      </c>
      <c r="K219" s="61">
        <f t="shared" si="49"/>
        <v>18.902968823023382</v>
      </c>
      <c r="L219" s="225">
        <f t="shared" si="59"/>
        <v>0.18902968823023383</v>
      </c>
      <c r="N219" s="95">
        <f t="shared" si="50"/>
        <v>1.9586507556896087</v>
      </c>
      <c r="O219" s="95">
        <f t="shared" si="51"/>
        <v>2.770157141539646</v>
      </c>
      <c r="P219" s="95">
        <f t="shared" si="52"/>
        <v>2.4562270666496548</v>
      </c>
      <c r="Q219" s="95">
        <f t="shared" si="53"/>
        <v>3.1736707517434417</v>
      </c>
      <c r="R219" s="96">
        <f t="shared" si="60"/>
        <v>0</v>
      </c>
      <c r="S219" s="96">
        <f t="shared" si="61"/>
        <v>0</v>
      </c>
      <c r="Z219" s="61">
        <f t="shared" si="54"/>
        <v>-1.9586507556896087</v>
      </c>
      <c r="AA219" s="61">
        <f t="shared" si="55"/>
        <v>-2.770157141539646</v>
      </c>
    </row>
    <row r="220" spans="2:27" ht="17" x14ac:dyDescent="0.2">
      <c r="B220" s="104" t="str">
        <f>'1.RETURNS'!A221</f>
        <v>01-Nov-2023</v>
      </c>
      <c r="C220" s="226">
        <f>'1.RETURNS'!D221</f>
        <v>-7.5516283254135393E-3</v>
      </c>
      <c r="D220" s="127">
        <f t="shared" si="62"/>
        <v>1.1795162427125153E-2</v>
      </c>
      <c r="E220" s="128">
        <f t="shared" si="63"/>
        <v>0.18724239873471704</v>
      </c>
      <c r="F220" s="90" t="str">
        <f t="shared" si="56"/>
        <v>▲ ELEVATED</v>
      </c>
      <c r="G220" s="61">
        <f t="shared" si="57"/>
        <v>5.7027090365188098E-5</v>
      </c>
      <c r="I220" s="61">
        <f t="shared" si="58"/>
        <v>1.2950554038167845E-4</v>
      </c>
      <c r="J220" s="61">
        <f t="shared" si="48"/>
        <v>1.1380050104532864</v>
      </c>
      <c r="K220" s="61">
        <f t="shared" si="49"/>
        <v>18.065269490429134</v>
      </c>
      <c r="L220" s="225">
        <f t="shared" si="59"/>
        <v>0.18065269490429134</v>
      </c>
      <c r="N220" s="95">
        <f t="shared" si="50"/>
        <v>1.8718516689330353</v>
      </c>
      <c r="O220" s="95">
        <f t="shared" si="51"/>
        <v>2.6473955367158277</v>
      </c>
      <c r="P220" s="95">
        <f t="shared" si="52"/>
        <v>2.3473775100696188</v>
      </c>
      <c r="Q220" s="95">
        <f t="shared" si="53"/>
        <v>3.0330271366848764</v>
      </c>
      <c r="R220" s="96">
        <f t="shared" si="60"/>
        <v>0</v>
      </c>
      <c r="S220" s="96">
        <f t="shared" si="61"/>
        <v>0</v>
      </c>
      <c r="Z220" s="61">
        <f t="shared" si="54"/>
        <v>-1.8718516689330353</v>
      </c>
      <c r="AA220" s="61">
        <f t="shared" si="55"/>
        <v>-2.6473955367158277</v>
      </c>
    </row>
    <row r="221" spans="2:27" ht="17" x14ac:dyDescent="0.2">
      <c r="B221" s="99" t="str">
        <f>'1.RETURNS'!A222</f>
        <v>02-Nov-2023</v>
      </c>
      <c r="C221" s="226">
        <f>'1.RETURNS'!D222</f>
        <v>-2.3095867274594848E-3</v>
      </c>
      <c r="D221" s="125">
        <f t="shared" si="62"/>
        <v>1.1886784806540431E-2</v>
      </c>
      <c r="E221" s="126">
        <f t="shared" si="63"/>
        <v>0.188696858917482</v>
      </c>
      <c r="F221" s="90" t="str">
        <f t="shared" si="56"/>
        <v>▲ ELEVATED</v>
      </c>
      <c r="G221" s="61">
        <f t="shared" si="57"/>
        <v>5.3341908516570126E-6</v>
      </c>
      <c r="I221" s="61">
        <f t="shared" si="58"/>
        <v>1.187824183609455E-4</v>
      </c>
      <c r="J221" s="61">
        <f t="shared" si="48"/>
        <v>1.0898734713761296</v>
      </c>
      <c r="K221" s="61">
        <f t="shared" si="49"/>
        <v>17.30120499472747</v>
      </c>
      <c r="L221" s="225">
        <f t="shared" si="59"/>
        <v>0.1730120499472747</v>
      </c>
      <c r="N221" s="95">
        <f t="shared" si="50"/>
        <v>1.7926823323112175</v>
      </c>
      <c r="O221" s="95">
        <f t="shared" si="51"/>
        <v>2.5354248331093703</v>
      </c>
      <c r="P221" s="95">
        <f t="shared" si="52"/>
        <v>2.2480959679701229</v>
      </c>
      <c r="Q221" s="95">
        <f t="shared" si="53"/>
        <v>2.904746274289308</v>
      </c>
      <c r="R221" s="96">
        <f t="shared" si="60"/>
        <v>0</v>
      </c>
      <c r="S221" s="96">
        <f t="shared" si="61"/>
        <v>0</v>
      </c>
      <c r="Z221" s="61">
        <f t="shared" si="54"/>
        <v>-1.7926823323112175</v>
      </c>
      <c r="AA221" s="61">
        <f t="shared" si="55"/>
        <v>-2.5354248331093703</v>
      </c>
    </row>
    <row r="222" spans="2:27" ht="17" x14ac:dyDescent="0.2">
      <c r="B222" s="104" t="str">
        <f>'1.RETURNS'!A223</f>
        <v>03-Nov-2023</v>
      </c>
      <c r="C222" s="226">
        <f>'1.RETURNS'!D223</f>
        <v>-4.5357518632557362E-3</v>
      </c>
      <c r="D222" s="127">
        <f t="shared" si="62"/>
        <v>1.2035817657700242E-2</v>
      </c>
      <c r="E222" s="128">
        <f t="shared" si="63"/>
        <v>0.19106268208556859</v>
      </c>
      <c r="F222" s="90" t="str">
        <f t="shared" si="56"/>
        <v>▲ ELEVATED</v>
      </c>
      <c r="G222" s="61">
        <f t="shared" si="57"/>
        <v>2.0573044965027884E-5</v>
      </c>
      <c r="I222" s="61">
        <f t="shared" si="58"/>
        <v>1.0449847469196937E-4</v>
      </c>
      <c r="J222" s="61">
        <f t="shared" si="48"/>
        <v>1.0222449544603747</v>
      </c>
      <c r="K222" s="61">
        <f t="shared" si="49"/>
        <v>16.227635570956195</v>
      </c>
      <c r="L222" s="225">
        <f t="shared" si="59"/>
        <v>0.16227635570956195</v>
      </c>
      <c r="N222" s="95">
        <f t="shared" si="50"/>
        <v>1.681443320976989</v>
      </c>
      <c r="O222" s="95">
        <f t="shared" si="51"/>
        <v>2.3780973765578688</v>
      </c>
      <c r="P222" s="95">
        <f t="shared" si="52"/>
        <v>2.1085977599752628</v>
      </c>
      <c r="Q222" s="95">
        <f t="shared" si="53"/>
        <v>2.7245017893045413</v>
      </c>
      <c r="R222" s="96">
        <f t="shared" si="60"/>
        <v>0</v>
      </c>
      <c r="S222" s="96">
        <f t="shared" si="61"/>
        <v>0</v>
      </c>
      <c r="Z222" s="61">
        <f t="shared" si="54"/>
        <v>-1.681443320976989</v>
      </c>
      <c r="AA222" s="61">
        <f t="shared" si="55"/>
        <v>-2.3780973765578688</v>
      </c>
    </row>
    <row r="223" spans="2:27" ht="17" x14ac:dyDescent="0.2">
      <c r="B223" s="99" t="str">
        <f>'1.RETURNS'!A224</f>
        <v>06-Nov-2023</v>
      </c>
      <c r="C223" s="226">
        <f>'1.RETURNS'!D224</f>
        <v>1.0728944898763643E-3</v>
      </c>
      <c r="D223" s="125">
        <f t="shared" si="62"/>
        <v>1.1502186419684654E-2</v>
      </c>
      <c r="E223" s="126">
        <f t="shared" si="63"/>
        <v>0.18259154879994002</v>
      </c>
      <c r="F223" s="90" t="str">
        <f t="shared" si="56"/>
        <v>▲ ELEVATED</v>
      </c>
      <c r="G223" s="61">
        <f t="shared" si="57"/>
        <v>1.1511025864070641E-6</v>
      </c>
      <c r="I223" s="61">
        <f t="shared" si="58"/>
        <v>9.3881007984676754E-5</v>
      </c>
      <c r="J223" s="61">
        <f t="shared" si="48"/>
        <v>0.96892212269447509</v>
      </c>
      <c r="K223" s="61">
        <f t="shared" si="49"/>
        <v>15.381161858630362</v>
      </c>
      <c r="L223" s="225">
        <f t="shared" si="59"/>
        <v>0.15381161858630363</v>
      </c>
      <c r="N223" s="95">
        <f t="shared" si="50"/>
        <v>1.5937350677475259</v>
      </c>
      <c r="O223" s="95">
        <f t="shared" si="51"/>
        <v>2.2540499202414308</v>
      </c>
      <c r="P223" s="95">
        <f t="shared" si="52"/>
        <v>1.9986080719591777</v>
      </c>
      <c r="Q223" s="95">
        <f t="shared" si="53"/>
        <v>2.5823850198129588</v>
      </c>
      <c r="R223" s="96">
        <f t="shared" si="60"/>
        <v>0</v>
      </c>
      <c r="S223" s="96">
        <f t="shared" si="61"/>
        <v>0</v>
      </c>
      <c r="Z223" s="61">
        <f t="shared" si="54"/>
        <v>-1.5937350677475259</v>
      </c>
      <c r="AA223" s="61">
        <f t="shared" si="55"/>
        <v>-2.2540499202414308</v>
      </c>
    </row>
    <row r="224" spans="2:27" ht="17" x14ac:dyDescent="0.2">
      <c r="B224" s="104" t="str">
        <f>'1.RETURNS'!A225</f>
        <v>07-Nov-2023</v>
      </c>
      <c r="C224" s="226">
        <f>'1.RETURNS'!D225</f>
        <v>2.2973813584132235E-2</v>
      </c>
      <c r="D224" s="127">
        <f t="shared" si="62"/>
        <v>1.2185003865031853E-2</v>
      </c>
      <c r="E224" s="128">
        <f t="shared" si="63"/>
        <v>0.19343093970741079</v>
      </c>
      <c r="F224" s="90" t="str">
        <f t="shared" si="56"/>
        <v>▲ ELEVATED</v>
      </c>
      <c r="G224" s="61">
        <f t="shared" si="57"/>
        <v>5.2779611059845875E-4</v>
      </c>
      <c r="I224" s="61">
        <f t="shared" si="58"/>
        <v>8.2913967045615945E-5</v>
      </c>
      <c r="J224" s="61">
        <f t="shared" si="48"/>
        <v>0.91057106831710799</v>
      </c>
      <c r="K224" s="61">
        <f t="shared" si="49"/>
        <v>14.454867586904841</v>
      </c>
      <c r="L224" s="225">
        <f t="shared" si="59"/>
        <v>0.1445486758690484</v>
      </c>
      <c r="N224" s="95">
        <f t="shared" si="50"/>
        <v>1.4977561243184712</v>
      </c>
      <c r="O224" s="95">
        <f t="shared" si="51"/>
        <v>2.1183050689426013</v>
      </c>
      <c r="P224" s="95">
        <f t="shared" si="52"/>
        <v>1.8782466047634201</v>
      </c>
      <c r="Q224" s="95">
        <f t="shared" si="53"/>
        <v>2.4268669599142285</v>
      </c>
      <c r="R224" s="96">
        <f t="shared" si="60"/>
        <v>0</v>
      </c>
      <c r="S224" s="96">
        <f t="shared" si="61"/>
        <v>0</v>
      </c>
      <c r="Z224" s="61">
        <f t="shared" si="54"/>
        <v>-1.4977561243184712</v>
      </c>
      <c r="AA224" s="61">
        <f t="shared" si="55"/>
        <v>-2.1183050689426013</v>
      </c>
    </row>
    <row r="225" spans="2:27" ht="17" x14ac:dyDescent="0.2">
      <c r="B225" s="99" t="str">
        <f>'1.RETURNS'!A226</f>
        <v>08-Nov-2023</v>
      </c>
      <c r="C225" s="226">
        <f>'1.RETURNS'!D226</f>
        <v>-2.2892930712884726E-2</v>
      </c>
      <c r="D225" s="125">
        <f t="shared" si="62"/>
        <v>1.3777531935814782E-2</v>
      </c>
      <c r="E225" s="126">
        <f t="shared" si="63"/>
        <v>0.21871153909449736</v>
      </c>
      <c r="F225" s="90" t="str">
        <f t="shared" si="56"/>
        <v>▲ ELEVATED</v>
      </c>
      <c r="G225" s="61">
        <f t="shared" si="57"/>
        <v>5.2408627662494072E-4</v>
      </c>
      <c r="I225" s="61">
        <f t="shared" si="58"/>
        <v>1.2625648304861943E-4</v>
      </c>
      <c r="J225" s="61">
        <f t="shared" si="48"/>
        <v>1.1236391015295766</v>
      </c>
      <c r="K225" s="61">
        <f t="shared" si="49"/>
        <v>17.837217756211896</v>
      </c>
      <c r="L225" s="225">
        <f t="shared" si="59"/>
        <v>0.17837217756211896</v>
      </c>
      <c r="N225" s="95">
        <f t="shared" si="50"/>
        <v>1.8482218515354167</v>
      </c>
      <c r="O225" s="95">
        <f t="shared" si="51"/>
        <v>2.6139754350324909</v>
      </c>
      <c r="P225" s="95">
        <f t="shared" si="52"/>
        <v>2.3177447657411974</v>
      </c>
      <c r="Q225" s="95">
        <f t="shared" si="53"/>
        <v>2.994738911933212</v>
      </c>
      <c r="R225" s="96">
        <f t="shared" si="60"/>
        <v>1</v>
      </c>
      <c r="S225" s="96">
        <f t="shared" si="61"/>
        <v>0</v>
      </c>
      <c r="Z225" s="61">
        <f t="shared" si="54"/>
        <v>-1.8482218515354167</v>
      </c>
      <c r="AA225" s="61">
        <f t="shared" si="55"/>
        <v>-2.6139754350324909</v>
      </c>
    </row>
    <row r="226" spans="2:27" ht="17" x14ac:dyDescent="0.2">
      <c r="B226" s="104" t="str">
        <f>'1.RETURNS'!A227</f>
        <v>09-Nov-2023</v>
      </c>
      <c r="C226" s="226">
        <f>'1.RETURNS'!D227</f>
        <v>8.5779369339966955E-3</v>
      </c>
      <c r="D226" s="127">
        <f t="shared" si="62"/>
        <v>1.3718372996804007E-2</v>
      </c>
      <c r="E226" s="128">
        <f t="shared" si="63"/>
        <v>0.21777242005180367</v>
      </c>
      <c r="F226" s="90" t="str">
        <f t="shared" si="56"/>
        <v>▲ ELEVATED</v>
      </c>
      <c r="G226" s="61">
        <f t="shared" si="57"/>
        <v>7.3581002043624627E-5</v>
      </c>
      <c r="I226" s="61">
        <f t="shared" si="58"/>
        <v>1.6272663825382059E-4</v>
      </c>
      <c r="J226" s="61">
        <f t="shared" si="48"/>
        <v>1.275643517029035</v>
      </c>
      <c r="K226" s="61">
        <f t="shared" si="49"/>
        <v>20.250213045783688</v>
      </c>
      <c r="L226" s="225">
        <f t="shared" si="59"/>
        <v>0.20250213045783688</v>
      </c>
      <c r="N226" s="95">
        <f t="shared" si="50"/>
        <v>2.0982468656823396</v>
      </c>
      <c r="O226" s="95">
        <f t="shared" si="51"/>
        <v>2.9675905838744767</v>
      </c>
      <c r="P226" s="95">
        <f t="shared" si="52"/>
        <v>2.6312862203896108</v>
      </c>
      <c r="Q226" s="95">
        <f t="shared" si="53"/>
        <v>3.3998632416777212</v>
      </c>
      <c r="R226" s="96">
        <f t="shared" si="60"/>
        <v>0</v>
      </c>
      <c r="S226" s="96">
        <f t="shared" si="61"/>
        <v>0</v>
      </c>
      <c r="Z226" s="61">
        <f t="shared" si="54"/>
        <v>-2.0982468656823396</v>
      </c>
      <c r="AA226" s="61">
        <f t="shared" si="55"/>
        <v>-2.9675905838744767</v>
      </c>
    </row>
    <row r="227" spans="2:27" ht="17" x14ac:dyDescent="0.2">
      <c r="B227" s="99" t="str">
        <f>'1.RETURNS'!A228</f>
        <v>10-Nov-2023</v>
      </c>
      <c r="C227" s="226">
        <f>'1.RETURNS'!D228</f>
        <v>-1.6188710353566772E-2</v>
      </c>
      <c r="D227" s="125">
        <f t="shared" si="62"/>
        <v>1.4330771604290332E-2</v>
      </c>
      <c r="E227" s="126">
        <f t="shared" si="63"/>
        <v>0.22749394656371014</v>
      </c>
      <c r="F227" s="90" t="str">
        <f t="shared" si="56"/>
        <v>▲ ELEVATED</v>
      </c>
      <c r="G227" s="61">
        <f t="shared" si="57"/>
        <v>2.6207434291168001E-4</v>
      </c>
      <c r="I227" s="61">
        <f t="shared" si="58"/>
        <v>1.4867574272010996E-4</v>
      </c>
      <c r="J227" s="61">
        <f t="shared" si="48"/>
        <v>1.2193266285951028</v>
      </c>
      <c r="K227" s="61">
        <f t="shared" si="49"/>
        <v>19.356210157328764</v>
      </c>
      <c r="L227" s="225">
        <f t="shared" si="59"/>
        <v>0.19356210157328765</v>
      </c>
      <c r="N227" s="95">
        <f t="shared" si="50"/>
        <v>2.0056138274831645</v>
      </c>
      <c r="O227" s="95">
        <f t="shared" si="51"/>
        <v>2.8365779101936033</v>
      </c>
      <c r="P227" s="95">
        <f t="shared" si="52"/>
        <v>2.5151206533379717</v>
      </c>
      <c r="Q227" s="95">
        <f t="shared" si="53"/>
        <v>3.2497666697779768</v>
      </c>
      <c r="R227" s="96">
        <f t="shared" si="60"/>
        <v>0</v>
      </c>
      <c r="S227" s="96">
        <f t="shared" si="61"/>
        <v>0</v>
      </c>
      <c r="Z227" s="61">
        <f t="shared" si="54"/>
        <v>-2.0056138274831645</v>
      </c>
      <c r="AA227" s="61">
        <f t="shared" si="55"/>
        <v>-2.8365779101936033</v>
      </c>
    </row>
    <row r="228" spans="2:27" ht="17" x14ac:dyDescent="0.2">
      <c r="B228" s="104" t="str">
        <f>'1.RETURNS'!A229</f>
        <v>13-Nov-2023</v>
      </c>
      <c r="C228" s="226">
        <f>'1.RETURNS'!D229</f>
        <v>-5.2365124520414343E-3</v>
      </c>
      <c r="D228" s="127">
        <f t="shared" si="62"/>
        <v>1.388130139631173E-2</v>
      </c>
      <c r="E228" s="128">
        <f t="shared" si="63"/>
        <v>0.22035882821144698</v>
      </c>
      <c r="F228" s="90" t="str">
        <f t="shared" si="56"/>
        <v>▲ ELEVATED</v>
      </c>
      <c r="G228" s="61">
        <f t="shared" si="57"/>
        <v>2.7421062660384996E-5</v>
      </c>
      <c r="I228" s="61">
        <f t="shared" si="58"/>
        <v>1.5558181560326148E-4</v>
      </c>
      <c r="J228" s="61">
        <f t="shared" si="48"/>
        <v>1.247324398876497</v>
      </c>
      <c r="K228" s="61">
        <f t="shared" si="49"/>
        <v>19.800660981902066</v>
      </c>
      <c r="L228" s="225">
        <f t="shared" si="59"/>
        <v>0.19800660981902066</v>
      </c>
      <c r="N228" s="95">
        <f t="shared" si="50"/>
        <v>2.0516660614770701</v>
      </c>
      <c r="O228" s="95">
        <f t="shared" si="51"/>
        <v>2.9017104635656086</v>
      </c>
      <c r="P228" s="95">
        <f t="shared" si="52"/>
        <v>2.5728720126790545</v>
      </c>
      <c r="Q228" s="95">
        <f t="shared" si="53"/>
        <v>3.3243867252699237</v>
      </c>
      <c r="R228" s="96">
        <f t="shared" si="60"/>
        <v>0</v>
      </c>
      <c r="S228" s="96">
        <f t="shared" si="61"/>
        <v>0</v>
      </c>
      <c r="Z228" s="61">
        <f t="shared" si="54"/>
        <v>-2.0516660614770701</v>
      </c>
      <c r="AA228" s="61">
        <f t="shared" si="55"/>
        <v>-2.9017104635656086</v>
      </c>
    </row>
    <row r="229" spans="2:27" ht="17" x14ac:dyDescent="0.2">
      <c r="B229" s="99" t="str">
        <f>'1.RETURNS'!A230</f>
        <v>14-Nov-2023</v>
      </c>
      <c r="C229" s="226">
        <f>'1.RETURNS'!D230</f>
        <v>1.1341792619253785E-2</v>
      </c>
      <c r="D229" s="125">
        <f t="shared" si="62"/>
        <v>1.3621947788558943E-2</v>
      </c>
      <c r="E229" s="126">
        <f t="shared" si="63"/>
        <v>0.21624171732499936</v>
      </c>
      <c r="F229" s="90" t="str">
        <f t="shared" si="56"/>
        <v>▲ ELEVATED</v>
      </c>
      <c r="G229" s="61">
        <f t="shared" si="57"/>
        <v>1.2863625981815964E-4</v>
      </c>
      <c r="I229" s="61">
        <f t="shared" si="58"/>
        <v>1.3798664952881074E-4</v>
      </c>
      <c r="J229" s="61">
        <f t="shared" si="48"/>
        <v>1.1746771876937541</v>
      </c>
      <c r="K229" s="61">
        <f t="shared" si="49"/>
        <v>18.647422256510495</v>
      </c>
      <c r="L229" s="225">
        <f t="shared" si="59"/>
        <v>0.18647422256510496</v>
      </c>
      <c r="N229" s="95">
        <f t="shared" si="50"/>
        <v>1.9321720326752259</v>
      </c>
      <c r="O229" s="95">
        <f t="shared" si="51"/>
        <v>2.7327077782756386</v>
      </c>
      <c r="P229" s="95">
        <f t="shared" si="52"/>
        <v>2.423021679742714</v>
      </c>
      <c r="Q229" s="95">
        <f t="shared" si="53"/>
        <v>3.1307663449572125</v>
      </c>
      <c r="R229" s="96">
        <f t="shared" si="60"/>
        <v>0</v>
      </c>
      <c r="S229" s="96">
        <f t="shared" si="61"/>
        <v>0</v>
      </c>
      <c r="Z229" s="61">
        <f t="shared" si="54"/>
        <v>-1.9321720326752259</v>
      </c>
      <c r="AA229" s="61">
        <f t="shared" si="55"/>
        <v>-2.7327077782756386</v>
      </c>
    </row>
    <row r="230" spans="2:27" ht="17" x14ac:dyDescent="0.2">
      <c r="B230" s="104" t="str">
        <f>'1.RETURNS'!A231</f>
        <v>15-Nov-2023</v>
      </c>
      <c r="C230" s="226">
        <f>'1.RETURNS'!D231</f>
        <v>9.7154536546631095E-4</v>
      </c>
      <c r="D230" s="127">
        <f t="shared" si="62"/>
        <v>1.3638080198941211E-2</v>
      </c>
      <c r="E230" s="128">
        <f t="shared" si="63"/>
        <v>0.21649781140051647</v>
      </c>
      <c r="F230" s="90" t="str">
        <f t="shared" si="56"/>
        <v>▲ ELEVATED</v>
      </c>
      <c r="G230" s="61">
        <f t="shared" si="57"/>
        <v>9.4390039715906774E-7</v>
      </c>
      <c r="I230" s="61">
        <f t="shared" si="58"/>
        <v>1.331522780813051E-4</v>
      </c>
      <c r="J230" s="61">
        <f t="shared" si="48"/>
        <v>1.1539162798110836</v>
      </c>
      <c r="K230" s="61">
        <f t="shared" si="49"/>
        <v>18.317853061013697</v>
      </c>
      <c r="L230" s="225">
        <f t="shared" si="59"/>
        <v>0.18317853061013697</v>
      </c>
      <c r="N230" s="95">
        <f t="shared" si="50"/>
        <v>1.8980233780456099</v>
      </c>
      <c r="O230" s="95">
        <f t="shared" si="51"/>
        <v>2.68441068435963</v>
      </c>
      <c r="P230" s="95">
        <f t="shared" si="52"/>
        <v>2.3801978891576474</v>
      </c>
      <c r="Q230" s="95">
        <f t="shared" si="53"/>
        <v>3.0754340780410296</v>
      </c>
      <c r="R230" s="96">
        <f t="shared" si="60"/>
        <v>0</v>
      </c>
      <c r="S230" s="96">
        <f t="shared" si="61"/>
        <v>0</v>
      </c>
      <c r="Z230" s="61">
        <f t="shared" si="54"/>
        <v>-1.8980233780456099</v>
      </c>
      <c r="AA230" s="61">
        <f t="shared" si="55"/>
        <v>-2.68441068435963</v>
      </c>
    </row>
    <row r="231" spans="2:27" ht="17" x14ac:dyDescent="0.2">
      <c r="B231" s="99" t="str">
        <f>'1.RETURNS'!A232</f>
        <v>16-Nov-2023</v>
      </c>
      <c r="C231" s="226">
        <f>'1.RETURNS'!D232</f>
        <v>-1.0138829373300696E-2</v>
      </c>
      <c r="D231" s="125">
        <f t="shared" si="62"/>
        <v>1.4000168933488589E-2</v>
      </c>
      <c r="E231" s="126">
        <f t="shared" si="63"/>
        <v>0.22224579186541912</v>
      </c>
      <c r="F231" s="90" t="str">
        <f t="shared" si="56"/>
        <v>▲ ELEVATED</v>
      </c>
      <c r="G231" s="61">
        <f t="shared" si="57"/>
        <v>1.0279586106090499E-4</v>
      </c>
      <c r="I231" s="61">
        <f t="shared" si="58"/>
        <v>1.1627382640882523E-4</v>
      </c>
      <c r="J231" s="61">
        <f t="shared" si="48"/>
        <v>1.0783034193065755</v>
      </c>
      <c r="K231" s="61">
        <f t="shared" si="49"/>
        <v>17.117536112134818</v>
      </c>
      <c r="L231" s="225">
        <f t="shared" si="59"/>
        <v>0.17117536112134818</v>
      </c>
      <c r="N231" s="95">
        <f t="shared" si="50"/>
        <v>1.7736512902005941</v>
      </c>
      <c r="O231" s="95">
        <f t="shared" si="51"/>
        <v>2.5085088670748212</v>
      </c>
      <c r="P231" s="95">
        <f t="shared" si="52"/>
        <v>2.2242302733827262</v>
      </c>
      <c r="Q231" s="95">
        <f t="shared" si="53"/>
        <v>2.8739096069833909</v>
      </c>
      <c r="R231" s="96">
        <f t="shared" si="60"/>
        <v>0</v>
      </c>
      <c r="S231" s="96">
        <f t="shared" si="61"/>
        <v>0</v>
      </c>
      <c r="Z231" s="61">
        <f t="shared" si="54"/>
        <v>-1.7736512902005941</v>
      </c>
      <c r="AA231" s="61">
        <f t="shared" si="55"/>
        <v>-2.5085088670748212</v>
      </c>
    </row>
    <row r="232" spans="2:27" ht="17" x14ac:dyDescent="0.2">
      <c r="B232" s="104" t="str">
        <f>'1.RETURNS'!A233</f>
        <v>17-Nov-2023</v>
      </c>
      <c r="C232" s="226">
        <f>'1.RETURNS'!D233</f>
        <v>-7.6550932948300258E-3</v>
      </c>
      <c r="D232" s="127">
        <f t="shared" si="62"/>
        <v>1.4200401835909574E-2</v>
      </c>
      <c r="E232" s="128">
        <f t="shared" si="63"/>
        <v>0.22542439065001066</v>
      </c>
      <c r="F232" s="90" t="str">
        <f t="shared" si="56"/>
        <v>▲ ELEVATED</v>
      </c>
      <c r="G232" s="61">
        <f t="shared" si="57"/>
        <v>5.860045335255162E-5</v>
      </c>
      <c r="I232" s="61">
        <f t="shared" si="58"/>
        <v>1.1211233855359194E-4</v>
      </c>
      <c r="J232" s="61">
        <f t="shared" si="48"/>
        <v>1.0588311411815952</v>
      </c>
      <c r="K232" s="61">
        <f t="shared" si="49"/>
        <v>16.808423279863334</v>
      </c>
      <c r="L232" s="225">
        <f t="shared" si="59"/>
        <v>0.16808423279863333</v>
      </c>
      <c r="N232" s="95">
        <f t="shared" si="50"/>
        <v>1.7416222429017123</v>
      </c>
      <c r="O232" s="95">
        <f t="shared" si="51"/>
        <v>2.4632095742560414</v>
      </c>
      <c r="P232" s="95">
        <f t="shared" si="52"/>
        <v>2.1840645559029825</v>
      </c>
      <c r="Q232" s="95">
        <f t="shared" si="53"/>
        <v>2.8220118144221651</v>
      </c>
      <c r="R232" s="96">
        <f t="shared" si="60"/>
        <v>0</v>
      </c>
      <c r="S232" s="96">
        <f t="shared" si="61"/>
        <v>0</v>
      </c>
      <c r="Z232" s="61">
        <f t="shared" si="54"/>
        <v>-1.7416222429017123</v>
      </c>
      <c r="AA232" s="61">
        <f t="shared" si="55"/>
        <v>-2.4632095742560414</v>
      </c>
    </row>
    <row r="233" spans="2:27" ht="17" x14ac:dyDescent="0.2">
      <c r="B233" s="99" t="str">
        <f>'1.RETURNS'!A234</f>
        <v>20-Nov-2023</v>
      </c>
      <c r="C233" s="226">
        <f>'1.RETURNS'!D234</f>
        <v>7.3911310328928399E-3</v>
      </c>
      <c r="D233" s="125">
        <f t="shared" si="62"/>
        <v>1.100899346006831E-2</v>
      </c>
      <c r="E233" s="126">
        <f t="shared" si="63"/>
        <v>0.17476235328286341</v>
      </c>
      <c r="F233" s="90" t="str">
        <f t="shared" si="56"/>
        <v>▲ ELEVATED</v>
      </c>
      <c r="G233" s="61">
        <f t="shared" si="57"/>
        <v>5.462881794539158E-5</v>
      </c>
      <c r="I233" s="61">
        <f t="shared" si="58"/>
        <v>1.0415553310580831E-4</v>
      </c>
      <c r="J233" s="61">
        <f t="shared" si="48"/>
        <v>1.0205661816159122</v>
      </c>
      <c r="K233" s="61">
        <f t="shared" si="49"/>
        <v>16.200985878230895</v>
      </c>
      <c r="L233" s="225">
        <f t="shared" si="59"/>
        <v>0.16200985878230895</v>
      </c>
      <c r="N233" s="95">
        <f t="shared" si="50"/>
        <v>1.6786819853749473</v>
      </c>
      <c r="O233" s="95">
        <f t="shared" si="51"/>
        <v>2.3741919669201557</v>
      </c>
      <c r="P233" s="95">
        <f t="shared" si="52"/>
        <v>2.105134933728094</v>
      </c>
      <c r="Q233" s="95">
        <f t="shared" si="53"/>
        <v>2.7200275000467493</v>
      </c>
      <c r="R233" s="96">
        <f t="shared" si="60"/>
        <v>0</v>
      </c>
      <c r="S233" s="96">
        <f t="shared" si="61"/>
        <v>0</v>
      </c>
      <c r="Z233" s="61">
        <f t="shared" si="54"/>
        <v>-1.6786819853749473</v>
      </c>
      <c r="AA233" s="61">
        <f t="shared" si="55"/>
        <v>-2.3741919669201557</v>
      </c>
    </row>
    <row r="234" spans="2:27" ht="17" x14ac:dyDescent="0.2">
      <c r="B234" s="104" t="str">
        <f>'1.RETURNS'!A235</f>
        <v>21-Nov-2023</v>
      </c>
      <c r="C234" s="226">
        <f>'1.RETURNS'!D235</f>
        <v>-7.3817167207849569E-3</v>
      </c>
      <c r="D234" s="127">
        <f t="shared" si="62"/>
        <v>1.1013087616562873E-2</v>
      </c>
      <c r="E234" s="128">
        <f t="shared" si="63"/>
        <v>0.17482734600234259</v>
      </c>
      <c r="F234" s="90" t="str">
        <f t="shared" si="56"/>
        <v>▲ ELEVATED</v>
      </c>
      <c r="G234" s="61">
        <f t="shared" si="57"/>
        <v>5.4489741745916214E-5</v>
      </c>
      <c r="I234" s="61">
        <f t="shared" si="58"/>
        <v>9.699508493447623E-5</v>
      </c>
      <c r="J234" s="61">
        <f t="shared" si="48"/>
        <v>0.9848608273988575</v>
      </c>
      <c r="K234" s="61">
        <f t="shared" si="49"/>
        <v>15.63418095184011</v>
      </c>
      <c r="L234" s="225">
        <f t="shared" si="59"/>
        <v>0.1563418095184011</v>
      </c>
      <c r="N234" s="95">
        <f t="shared" si="50"/>
        <v>1.6199519039894379</v>
      </c>
      <c r="O234" s="95">
        <f t="shared" si="51"/>
        <v>2.2911288920454354</v>
      </c>
      <c r="P234" s="95">
        <f t="shared" si="52"/>
        <v>2.031485042287986</v>
      </c>
      <c r="Q234" s="95">
        <f t="shared" si="53"/>
        <v>2.6248650822449711</v>
      </c>
      <c r="R234" s="96">
        <f t="shared" si="60"/>
        <v>0</v>
      </c>
      <c r="S234" s="96">
        <f t="shared" si="61"/>
        <v>0</v>
      </c>
      <c r="Z234" s="61">
        <f t="shared" si="54"/>
        <v>-1.6199519039894379</v>
      </c>
      <c r="AA234" s="61">
        <f t="shared" si="55"/>
        <v>-2.2911288920454354</v>
      </c>
    </row>
    <row r="235" spans="2:27" ht="17" x14ac:dyDescent="0.2">
      <c r="B235" s="99" t="str">
        <f>'1.RETURNS'!A236</f>
        <v>22-Nov-2023</v>
      </c>
      <c r="C235" s="226">
        <f>'1.RETURNS'!D236</f>
        <v>2.5879256400356174E-3</v>
      </c>
      <c r="D235" s="125">
        <f t="shared" si="62"/>
        <v>1.0647673366519872E-2</v>
      </c>
      <c r="E235" s="126">
        <f t="shared" si="63"/>
        <v>0.16902657461554485</v>
      </c>
      <c r="F235" s="90" t="str">
        <f t="shared" si="56"/>
        <v/>
      </c>
      <c r="G235" s="61">
        <f t="shared" si="57"/>
        <v>6.6973591183537597E-6</v>
      </c>
      <c r="I235" s="61">
        <f t="shared" si="58"/>
        <v>9.0894796368896406E-5</v>
      </c>
      <c r="J235" s="61">
        <f t="shared" si="48"/>
        <v>0.95338762509745434</v>
      </c>
      <c r="K235" s="61">
        <f t="shared" si="49"/>
        <v>15.134559354326077</v>
      </c>
      <c r="L235" s="225">
        <f t="shared" si="59"/>
        <v>0.15134559354326077</v>
      </c>
      <c r="N235" s="95">
        <f t="shared" si="50"/>
        <v>1.5681830930321976</v>
      </c>
      <c r="O235" s="95">
        <f t="shared" si="51"/>
        <v>2.2179112747823089</v>
      </c>
      <c r="P235" s="95">
        <f t="shared" si="52"/>
        <v>1.9665648648076095</v>
      </c>
      <c r="Q235" s="95">
        <f t="shared" si="53"/>
        <v>2.5409822559114512</v>
      </c>
      <c r="R235" s="96">
        <f t="shared" si="60"/>
        <v>0</v>
      </c>
      <c r="S235" s="96">
        <f t="shared" si="61"/>
        <v>0</v>
      </c>
      <c r="Z235" s="61">
        <f t="shared" si="54"/>
        <v>-1.5681830930321976</v>
      </c>
      <c r="AA235" s="61">
        <f t="shared" si="55"/>
        <v>-2.2179112747823089</v>
      </c>
    </row>
    <row r="236" spans="2:27" ht="17" x14ac:dyDescent="0.2">
      <c r="B236" s="104" t="str">
        <f>'1.RETURNS'!A237</f>
        <v>23-Nov-2023</v>
      </c>
      <c r="C236" s="226">
        <f>'1.RETURNS'!D237</f>
        <v>7.1338060940636988E-4</v>
      </c>
      <c r="D236" s="127">
        <f t="shared" si="62"/>
        <v>1.0308298200794401E-2</v>
      </c>
      <c r="E236" s="128">
        <f t="shared" si="63"/>
        <v>0.16363916087757929</v>
      </c>
      <c r="F236" s="90" t="str">
        <f t="shared" si="56"/>
        <v/>
      </c>
      <c r="G236" s="61">
        <f t="shared" si="57"/>
        <v>5.0891189387700368E-7</v>
      </c>
      <c r="I236" s="61">
        <f t="shared" si="58"/>
        <v>8.0930312825397313E-5</v>
      </c>
      <c r="J236" s="61">
        <f t="shared" si="48"/>
        <v>0.899612765724216</v>
      </c>
      <c r="K236" s="61">
        <f t="shared" si="49"/>
        <v>14.280909926191722</v>
      </c>
      <c r="L236" s="225">
        <f t="shared" si="59"/>
        <v>0.14280909926191721</v>
      </c>
      <c r="N236" s="95">
        <f t="shared" si="50"/>
        <v>1.4797313205533211</v>
      </c>
      <c r="O236" s="95">
        <f t="shared" si="51"/>
        <v>2.092812245002531</v>
      </c>
      <c r="P236" s="95">
        <f t="shared" si="52"/>
        <v>1.85564277365652</v>
      </c>
      <c r="Q236" s="95">
        <f t="shared" si="53"/>
        <v>2.3976607360128006</v>
      </c>
      <c r="R236" s="96">
        <f t="shared" si="60"/>
        <v>0</v>
      </c>
      <c r="S236" s="96">
        <f t="shared" si="61"/>
        <v>0</v>
      </c>
      <c r="Z236" s="61">
        <f t="shared" si="54"/>
        <v>-1.4797313205533211</v>
      </c>
      <c r="AA236" s="61">
        <f t="shared" si="55"/>
        <v>-2.092812245002531</v>
      </c>
    </row>
    <row r="237" spans="2:27" ht="17" x14ac:dyDescent="0.2">
      <c r="B237" s="99" t="str">
        <f>'1.RETURNS'!A238</f>
        <v>24-Nov-2023</v>
      </c>
      <c r="C237" s="226">
        <f>'1.RETURNS'!D238</f>
        <v>-5.770891327860378E-3</v>
      </c>
      <c r="D237" s="125">
        <f t="shared" si="62"/>
        <v>1.01706071649497E-2</v>
      </c>
      <c r="E237" s="126">
        <f t="shared" si="63"/>
        <v>0.16145338344593152</v>
      </c>
      <c r="F237" s="90" t="str">
        <f t="shared" si="56"/>
        <v/>
      </c>
      <c r="G237" s="61">
        <f t="shared" si="57"/>
        <v>3.3303186717974113E-5</v>
      </c>
      <c r="I237" s="61">
        <f t="shared" si="58"/>
        <v>7.1841657090975414E-5</v>
      </c>
      <c r="J237" s="61">
        <f t="shared" si="48"/>
        <v>0.84759457933009119</v>
      </c>
      <c r="K237" s="61">
        <f t="shared" si="49"/>
        <v>13.455146817082975</v>
      </c>
      <c r="L237" s="225">
        <f t="shared" si="59"/>
        <v>0.13455146817082975</v>
      </c>
      <c r="N237" s="95">
        <f t="shared" si="50"/>
        <v>1.3941690179955073</v>
      </c>
      <c r="O237" s="95">
        <f t="shared" si="51"/>
        <v>1.9717998476730985</v>
      </c>
      <c r="P237" s="95">
        <f t="shared" si="52"/>
        <v>1.74834419435805</v>
      </c>
      <c r="Q237" s="95">
        <f t="shared" si="53"/>
        <v>2.2590211259185802</v>
      </c>
      <c r="R237" s="96">
        <f t="shared" si="60"/>
        <v>0</v>
      </c>
      <c r="S237" s="96">
        <f t="shared" si="61"/>
        <v>0</v>
      </c>
      <c r="Z237" s="61">
        <f t="shared" si="54"/>
        <v>-1.3941690179955073</v>
      </c>
      <c r="AA237" s="61">
        <f t="shared" si="55"/>
        <v>-1.9717998476730985</v>
      </c>
    </row>
    <row r="238" spans="2:27" ht="17" x14ac:dyDescent="0.2">
      <c r="B238" s="104" t="str">
        <f>'1.RETURNS'!A239</f>
        <v>27-Nov-2023</v>
      </c>
      <c r="C238" s="226">
        <f>'1.RETURNS'!D239</f>
        <v>2.1259342768911883E-2</v>
      </c>
      <c r="D238" s="127">
        <f t="shared" si="62"/>
        <v>1.1355825733067575E-2</v>
      </c>
      <c r="E238" s="128">
        <f t="shared" si="63"/>
        <v>0.18026814492890733</v>
      </c>
      <c r="F238" s="90" t="str">
        <f t="shared" si="56"/>
        <v>▲ ELEVATED</v>
      </c>
      <c r="G238" s="61">
        <f t="shared" si="57"/>
        <v>4.5195965496608597E-4</v>
      </c>
      <c r="I238" s="61">
        <f t="shared" si="58"/>
        <v>6.7395727199126505E-5</v>
      </c>
      <c r="J238" s="61">
        <f t="shared" si="48"/>
        <v>0.82094900693725492</v>
      </c>
      <c r="K238" s="61">
        <f t="shared" si="49"/>
        <v>13.032161468528496</v>
      </c>
      <c r="L238" s="225">
        <f t="shared" si="59"/>
        <v>0.13032161468528497</v>
      </c>
      <c r="N238" s="95">
        <f t="shared" si="50"/>
        <v>1.3503409516029525</v>
      </c>
      <c r="O238" s="95">
        <f t="shared" si="51"/>
        <v>1.9098129769844223</v>
      </c>
      <c r="P238" s="95">
        <f t="shared" si="52"/>
        <v>1.6933820309199803</v>
      </c>
      <c r="Q238" s="95">
        <f t="shared" si="53"/>
        <v>2.1880049674679394</v>
      </c>
      <c r="R238" s="96">
        <f t="shared" si="60"/>
        <v>0</v>
      </c>
      <c r="S238" s="96">
        <f t="shared" si="61"/>
        <v>0</v>
      </c>
      <c r="Z238" s="61">
        <f t="shared" si="54"/>
        <v>-1.3503409516029525</v>
      </c>
      <c r="AA238" s="61">
        <f t="shared" si="55"/>
        <v>-1.9098129769844223</v>
      </c>
    </row>
    <row r="239" spans="2:27" ht="17" x14ac:dyDescent="0.2">
      <c r="B239" s="99" t="str">
        <f>'1.RETURNS'!A240</f>
        <v>28-Nov-2023</v>
      </c>
      <c r="C239" s="226">
        <f>'1.RETURNS'!D240</f>
        <v>8.0424823987987754E-3</v>
      </c>
      <c r="D239" s="125">
        <f t="shared" si="62"/>
        <v>1.1367477917381331E-2</v>
      </c>
      <c r="E239" s="126">
        <f t="shared" si="63"/>
        <v>0.18045311762045665</v>
      </c>
      <c r="F239" s="90" t="str">
        <f t="shared" si="56"/>
        <v>▲ ELEVATED</v>
      </c>
      <c r="G239" s="61">
        <f t="shared" si="57"/>
        <v>6.46815231349881E-5</v>
      </c>
      <c r="I239" s="61">
        <f t="shared" si="58"/>
        <v>1.0548233361586612E-4</v>
      </c>
      <c r="J239" s="61">
        <f t="shared" si="48"/>
        <v>1.0270459269957997</v>
      </c>
      <c r="K239" s="61">
        <f t="shared" si="49"/>
        <v>16.303848647236109</v>
      </c>
      <c r="L239" s="225">
        <f t="shared" si="59"/>
        <v>0.16303848647236108</v>
      </c>
      <c r="N239" s="95">
        <f t="shared" si="50"/>
        <v>1.6893402180647774</v>
      </c>
      <c r="O239" s="95">
        <f t="shared" si="51"/>
        <v>2.3892661088089833</v>
      </c>
      <c r="P239" s="95">
        <f t="shared" si="52"/>
        <v>2.1185007875125752</v>
      </c>
      <c r="Q239" s="95">
        <f t="shared" si="53"/>
        <v>2.7372974095774456</v>
      </c>
      <c r="R239" s="96">
        <f t="shared" si="60"/>
        <v>0</v>
      </c>
      <c r="S239" s="96">
        <f t="shared" si="61"/>
        <v>0</v>
      </c>
      <c r="Z239" s="61">
        <f t="shared" si="54"/>
        <v>-1.6893402180647774</v>
      </c>
      <c r="AA239" s="61">
        <f t="shared" si="55"/>
        <v>-2.3892661088089833</v>
      </c>
    </row>
    <row r="240" spans="2:27" ht="17" x14ac:dyDescent="0.2">
      <c r="B240" s="104" t="str">
        <f>'1.RETURNS'!A241</f>
        <v>29-Nov-2023</v>
      </c>
      <c r="C240" s="226">
        <f>'1.RETURNS'!D241</f>
        <v>-2.1204253416262798E-2</v>
      </c>
      <c r="D240" s="127">
        <f t="shared" si="62"/>
        <v>1.2208685893159906E-2</v>
      </c>
      <c r="E240" s="128">
        <f t="shared" si="63"/>
        <v>0.19380688024922157</v>
      </c>
      <c r="F240" s="90" t="str">
        <f t="shared" si="56"/>
        <v>▲ ELEVATED</v>
      </c>
      <c r="G240" s="61">
        <f t="shared" si="57"/>
        <v>4.4962036294109251E-4</v>
      </c>
      <c r="I240" s="61">
        <f t="shared" si="58"/>
        <v>9.9128135886985004E-5</v>
      </c>
      <c r="J240" s="61">
        <f t="shared" si="48"/>
        <v>0.99563113594837416</v>
      </c>
      <c r="K240" s="61">
        <f t="shared" si="49"/>
        <v>15.805154299632832</v>
      </c>
      <c r="L240" s="225">
        <f t="shared" si="59"/>
        <v>0.15805154299632831</v>
      </c>
      <c r="N240" s="95">
        <f t="shared" si="50"/>
        <v>1.6376674850704969</v>
      </c>
      <c r="O240" s="95">
        <f t="shared" si="51"/>
        <v>2.3161843764423677</v>
      </c>
      <c r="P240" s="95">
        <f t="shared" si="52"/>
        <v>2.053701095673881</v>
      </c>
      <c r="Q240" s="95">
        <f t="shared" si="53"/>
        <v>2.653570261748655</v>
      </c>
      <c r="R240" s="96">
        <f t="shared" si="60"/>
        <v>1</v>
      </c>
      <c r="S240" s="96">
        <f t="shared" si="61"/>
        <v>0</v>
      </c>
      <c r="Z240" s="61">
        <f t="shared" si="54"/>
        <v>-1.6376674850704969</v>
      </c>
      <c r="AA240" s="61">
        <f t="shared" si="55"/>
        <v>-2.3161843764423677</v>
      </c>
    </row>
    <row r="241" spans="2:27" ht="17" x14ac:dyDescent="0.2">
      <c r="B241" s="99" t="str">
        <f>'1.RETURNS'!A242</f>
        <v>30-Nov-2023</v>
      </c>
      <c r="C241" s="226">
        <f>'1.RETURNS'!D242</f>
        <v>2.5267324531283086E-3</v>
      </c>
      <c r="D241" s="125">
        <f t="shared" si="62"/>
        <v>1.2227576764729209E-2</v>
      </c>
      <c r="E241" s="126">
        <f t="shared" si="63"/>
        <v>0.19410676353855139</v>
      </c>
      <c r="F241" s="90" t="str">
        <f t="shared" si="56"/>
        <v>▲ ELEVATED</v>
      </c>
      <c r="G241" s="61">
        <f t="shared" si="57"/>
        <v>6.3843768896918003E-6</v>
      </c>
      <c r="I241" s="61">
        <f t="shared" si="58"/>
        <v>1.322209517980465E-4</v>
      </c>
      <c r="J241" s="61">
        <f t="shared" si="48"/>
        <v>1.1498736965338694</v>
      </c>
      <c r="K241" s="61">
        <f t="shared" si="49"/>
        <v>18.253679040979033</v>
      </c>
      <c r="L241" s="225">
        <f t="shared" si="59"/>
        <v>0.18253679040979034</v>
      </c>
      <c r="N241" s="95">
        <f t="shared" si="50"/>
        <v>1.8913739202798308</v>
      </c>
      <c r="O241" s="95">
        <f t="shared" si="51"/>
        <v>2.67500622934705</v>
      </c>
      <c r="P241" s="95">
        <f t="shared" si="52"/>
        <v>2.3718592008563224</v>
      </c>
      <c r="Q241" s="95">
        <f t="shared" si="53"/>
        <v>3.0646597276036665</v>
      </c>
      <c r="R241" s="96">
        <f t="shared" si="60"/>
        <v>0</v>
      </c>
      <c r="S241" s="96">
        <f t="shared" si="61"/>
        <v>0</v>
      </c>
      <c r="Z241" s="61">
        <f t="shared" si="54"/>
        <v>-1.8913739202798308</v>
      </c>
      <c r="AA241" s="61">
        <f t="shared" si="55"/>
        <v>-2.67500622934705</v>
      </c>
    </row>
    <row r="242" spans="2:27" ht="17" x14ac:dyDescent="0.2">
      <c r="B242" s="104" t="str">
        <f>'1.RETURNS'!A243</f>
        <v>01-Dec-2023</v>
      </c>
      <c r="C242" s="226">
        <f>'1.RETURNS'!D243</f>
        <v>-6.0598866695904495E-3</v>
      </c>
      <c r="D242" s="127">
        <f t="shared" si="62"/>
        <v>1.2257602410645817E-2</v>
      </c>
      <c r="E242" s="128">
        <f t="shared" si="63"/>
        <v>0.19458340589084794</v>
      </c>
      <c r="F242" s="90" t="str">
        <f t="shared" si="56"/>
        <v>▲ ELEVATED</v>
      </c>
      <c r="G242" s="61">
        <f t="shared" si="57"/>
        <v>3.6722226448280027E-5</v>
      </c>
      <c r="I242" s="61">
        <f t="shared" si="58"/>
        <v>1.160262467173087E-4</v>
      </c>
      <c r="J242" s="61">
        <f t="shared" si="48"/>
        <v>1.077154801861407</v>
      </c>
      <c r="K242" s="61">
        <f t="shared" si="49"/>
        <v>17.099302375466021</v>
      </c>
      <c r="L242" s="225">
        <f t="shared" si="59"/>
        <v>0.17099302375466022</v>
      </c>
      <c r="N242" s="95">
        <f t="shared" si="50"/>
        <v>1.7717619826299289</v>
      </c>
      <c r="O242" s="95">
        <f t="shared" si="51"/>
        <v>2.5058367833231672</v>
      </c>
      <c r="P242" s="95">
        <f t="shared" si="52"/>
        <v>2.2218610054676504</v>
      </c>
      <c r="Q242" s="95">
        <f t="shared" si="53"/>
        <v>2.8708482954347909</v>
      </c>
      <c r="R242" s="96">
        <f t="shared" si="60"/>
        <v>0</v>
      </c>
      <c r="S242" s="96">
        <f t="shared" si="61"/>
        <v>0</v>
      </c>
      <c r="Z242" s="61">
        <f t="shared" si="54"/>
        <v>-1.7717619826299289</v>
      </c>
      <c r="AA242" s="61">
        <f t="shared" si="55"/>
        <v>-2.5058367833231672</v>
      </c>
    </row>
    <row r="243" spans="2:27" ht="17" x14ac:dyDescent="0.2">
      <c r="B243" s="99" t="str">
        <f>'1.RETURNS'!A244</f>
        <v>04-Dec-2023</v>
      </c>
      <c r="C243" s="226">
        <f>'1.RETURNS'!D244</f>
        <v>8.7269403652824196E-3</v>
      </c>
      <c r="D243" s="125">
        <f t="shared" si="62"/>
        <v>1.2435816724536513E-2</v>
      </c>
      <c r="E243" s="126">
        <f t="shared" si="63"/>
        <v>0.19741247041860865</v>
      </c>
      <c r="F243" s="90" t="str">
        <f t="shared" si="56"/>
        <v>▲ ELEVATED</v>
      </c>
      <c r="G243" s="61">
        <f t="shared" si="57"/>
        <v>7.615948813919565E-5</v>
      </c>
      <c r="I243" s="61">
        <f t="shared" si="58"/>
        <v>1.0529453235454039E-4</v>
      </c>
      <c r="J243" s="61">
        <f t="shared" si="48"/>
        <v>1.0261312408972858</v>
      </c>
      <c r="K243" s="61">
        <f t="shared" si="49"/>
        <v>16.289328455569976</v>
      </c>
      <c r="L243" s="225">
        <f t="shared" si="59"/>
        <v>0.16289328455569976</v>
      </c>
      <c r="N243" s="95">
        <f t="shared" si="50"/>
        <v>1.6878356933181147</v>
      </c>
      <c r="O243" s="95">
        <f t="shared" si="51"/>
        <v>2.3871382307482905</v>
      </c>
      <c r="P243" s="95">
        <f t="shared" si="52"/>
        <v>2.1166140527823218</v>
      </c>
      <c r="Q243" s="95">
        <f t="shared" si="53"/>
        <v>2.734859575180534</v>
      </c>
      <c r="R243" s="96">
        <f t="shared" si="60"/>
        <v>0</v>
      </c>
      <c r="S243" s="96">
        <f t="shared" si="61"/>
        <v>0</v>
      </c>
      <c r="Z243" s="61">
        <f t="shared" si="54"/>
        <v>-1.6878356933181147</v>
      </c>
      <c r="AA243" s="61">
        <f t="shared" si="55"/>
        <v>-2.3871382307482905</v>
      </c>
    </row>
    <row r="244" spans="2:27" ht="17" x14ac:dyDescent="0.2">
      <c r="B244" s="104" t="str">
        <f>'1.RETURNS'!A245</f>
        <v>05-Dec-2023</v>
      </c>
      <c r="C244" s="226">
        <f>'1.RETURNS'!D245</f>
        <v>-7.7621141880172334E-3</v>
      </c>
      <c r="D244" s="127">
        <f t="shared" si="62"/>
        <v>1.1240826685230505E-2</v>
      </c>
      <c r="E244" s="128">
        <f t="shared" si="63"/>
        <v>0.17844259163939066</v>
      </c>
      <c r="F244" s="90" t="str">
        <f t="shared" si="56"/>
        <v>▲ ELEVATED</v>
      </c>
      <c r="G244" s="61">
        <f t="shared" si="57"/>
        <v>6.0250416667818433E-5</v>
      </c>
      <c r="I244" s="61">
        <f t="shared" si="58"/>
        <v>1.001163013152789E-4</v>
      </c>
      <c r="J244" s="61">
        <f t="shared" si="48"/>
        <v>1.0005813375996919</v>
      </c>
      <c r="K244" s="61">
        <f t="shared" si="49"/>
        <v>15.88373631468688</v>
      </c>
      <c r="L244" s="225">
        <f t="shared" si="59"/>
        <v>0.1588373631468688</v>
      </c>
      <c r="N244" s="95">
        <f t="shared" si="50"/>
        <v>1.6458098422108081</v>
      </c>
      <c r="O244" s="95">
        <f t="shared" si="51"/>
        <v>2.327700267529984</v>
      </c>
      <c r="P244" s="95">
        <f t="shared" si="52"/>
        <v>2.0639119400197985</v>
      </c>
      <c r="Q244" s="95">
        <f t="shared" si="53"/>
        <v>2.6667636095833265</v>
      </c>
      <c r="R244" s="96">
        <f t="shared" si="60"/>
        <v>0</v>
      </c>
      <c r="S244" s="96">
        <f t="shared" si="61"/>
        <v>0</v>
      </c>
      <c r="Z244" s="61">
        <f t="shared" si="54"/>
        <v>-1.6458098422108081</v>
      </c>
      <c r="AA244" s="61">
        <f t="shared" si="55"/>
        <v>-2.327700267529984</v>
      </c>
    </row>
    <row r="245" spans="2:27" ht="17" x14ac:dyDescent="0.2">
      <c r="B245" s="99" t="str">
        <f>'1.RETURNS'!A246</f>
        <v>06-Dec-2023</v>
      </c>
      <c r="C245" s="226">
        <f>'1.RETURNS'!D246</f>
        <v>-9.2020297906603632E-4</v>
      </c>
      <c r="D245" s="125">
        <f t="shared" si="62"/>
        <v>1.0097466381993391E-2</v>
      </c>
      <c r="E245" s="126">
        <f t="shared" si="63"/>
        <v>0.16029230951153786</v>
      </c>
      <c r="F245" s="90" t="str">
        <f t="shared" si="56"/>
        <v/>
      </c>
      <c r="G245" s="61">
        <f t="shared" si="57"/>
        <v>8.4677352268200803E-7</v>
      </c>
      <c r="I245" s="61">
        <f t="shared" si="58"/>
        <v>9.4123897784768897E-5</v>
      </c>
      <c r="J245" s="61">
        <f t="shared" si="48"/>
        <v>0.97017471511459674</v>
      </c>
      <c r="K245" s="61">
        <f t="shared" si="49"/>
        <v>15.401046146856961</v>
      </c>
      <c r="L245" s="225">
        <f t="shared" si="59"/>
        <v>0.15401046146856961</v>
      </c>
      <c r="N245" s="95">
        <f t="shared" si="50"/>
        <v>1.595795398932855</v>
      </c>
      <c r="O245" s="95">
        <f t="shared" si="51"/>
        <v>2.2569638859550203</v>
      </c>
      <c r="P245" s="95">
        <f t="shared" si="52"/>
        <v>2.0011918103867492</v>
      </c>
      <c r="Q245" s="95">
        <f t="shared" si="53"/>
        <v>2.5857234469433643</v>
      </c>
      <c r="R245" s="96">
        <f t="shared" si="60"/>
        <v>0</v>
      </c>
      <c r="S245" s="96">
        <f t="shared" si="61"/>
        <v>0</v>
      </c>
      <c r="Z245" s="61">
        <f t="shared" si="54"/>
        <v>-1.595795398932855</v>
      </c>
      <c r="AA245" s="61">
        <f t="shared" si="55"/>
        <v>-2.2569638859550203</v>
      </c>
    </row>
    <row r="246" spans="2:27" ht="17" x14ac:dyDescent="0.2">
      <c r="B246" s="104" t="str">
        <f>'1.RETURNS'!A247</f>
        <v>07-Dec-2023</v>
      </c>
      <c r="C246" s="226">
        <f>'1.RETURNS'!D247</f>
        <v>5.1768437149770901E-3</v>
      </c>
      <c r="D246" s="127">
        <f t="shared" si="62"/>
        <v>9.9587449735253492E-3</v>
      </c>
      <c r="E246" s="128">
        <f t="shared" si="63"/>
        <v>0.15809017542157558</v>
      </c>
      <c r="F246" s="90" t="str">
        <f t="shared" si="56"/>
        <v/>
      </c>
      <c r="G246" s="61">
        <f t="shared" si="57"/>
        <v>2.6799710849297799E-5</v>
      </c>
      <c r="I246" s="61">
        <f t="shared" si="58"/>
        <v>8.3089990469321757E-5</v>
      </c>
      <c r="J246" s="61">
        <f t="shared" si="48"/>
        <v>0.91153711097969981</v>
      </c>
      <c r="K246" s="61">
        <f t="shared" si="49"/>
        <v>14.470203038751421</v>
      </c>
      <c r="L246" s="225">
        <f t="shared" si="59"/>
        <v>0.14470203038751422</v>
      </c>
      <c r="N246" s="95">
        <f t="shared" si="50"/>
        <v>1.4993451230958252</v>
      </c>
      <c r="O246" s="95">
        <f t="shared" si="51"/>
        <v>2.1205524202369546</v>
      </c>
      <c r="P246" s="95">
        <f t="shared" si="52"/>
        <v>1.8802392733361468</v>
      </c>
      <c r="Q246" s="95">
        <f t="shared" si="53"/>
        <v>2.4294416705560287</v>
      </c>
      <c r="R246" s="96">
        <f t="shared" si="60"/>
        <v>0</v>
      </c>
      <c r="S246" s="96">
        <f t="shared" si="61"/>
        <v>0</v>
      </c>
      <c r="Z246" s="61">
        <f t="shared" si="54"/>
        <v>-1.4993451230958252</v>
      </c>
      <c r="AA246" s="61">
        <f t="shared" si="55"/>
        <v>-2.1205524202369546</v>
      </c>
    </row>
    <row r="247" spans="2:27" ht="17" x14ac:dyDescent="0.2">
      <c r="B247" s="99" t="str">
        <f>'1.RETURNS'!A248</f>
        <v>08-Dec-2023</v>
      </c>
      <c r="C247" s="226">
        <f>'1.RETURNS'!D248</f>
        <v>8.9665421781810195E-3</v>
      </c>
      <c r="D247" s="125">
        <f t="shared" si="62"/>
        <v>9.5153472906244606E-3</v>
      </c>
      <c r="E247" s="126">
        <f t="shared" si="63"/>
        <v>0.15105145541642739</v>
      </c>
      <c r="F247" s="90" t="str">
        <f t="shared" si="56"/>
        <v/>
      </c>
      <c r="G247" s="61">
        <f t="shared" si="57"/>
        <v>8.0398878633099218E-5</v>
      </c>
      <c r="I247" s="61">
        <f t="shared" si="58"/>
        <v>7.6306462983853266E-5</v>
      </c>
      <c r="J247" s="61">
        <f t="shared" si="48"/>
        <v>0.87353570610395359</v>
      </c>
      <c r="K247" s="61">
        <f t="shared" si="49"/>
        <v>13.86694943811761</v>
      </c>
      <c r="L247" s="225">
        <f t="shared" si="59"/>
        <v>0.13866949438117609</v>
      </c>
      <c r="N247" s="95">
        <f t="shared" si="50"/>
        <v>1.4368383744567028</v>
      </c>
      <c r="O247" s="95">
        <f t="shared" si="51"/>
        <v>2.0321479327936971</v>
      </c>
      <c r="P247" s="95">
        <f t="shared" si="52"/>
        <v>1.80185328879567</v>
      </c>
      <c r="Q247" s="95">
        <f t="shared" si="53"/>
        <v>2.3281597858880718</v>
      </c>
      <c r="R247" s="96">
        <f t="shared" si="60"/>
        <v>0</v>
      </c>
      <c r="S247" s="96">
        <f t="shared" si="61"/>
        <v>0</v>
      </c>
      <c r="Z247" s="61">
        <f t="shared" si="54"/>
        <v>-1.4368383744567028</v>
      </c>
      <c r="AA247" s="61">
        <f t="shared" si="55"/>
        <v>-2.0321479327936971</v>
      </c>
    </row>
    <row r="248" spans="2:27" ht="17" x14ac:dyDescent="0.2">
      <c r="B248" s="104" t="str">
        <f>'1.RETURNS'!A249</f>
        <v>11-Dec-2023</v>
      </c>
      <c r="C248" s="226">
        <f>'1.RETURNS'!D249</f>
        <v>-1.2392910283685573E-2</v>
      </c>
      <c r="D248" s="127">
        <f t="shared" si="62"/>
        <v>9.8619073464419633E-3</v>
      </c>
      <c r="E248" s="128">
        <f t="shared" si="63"/>
        <v>0.15655292574867805</v>
      </c>
      <c r="F248" s="90" t="str">
        <f t="shared" si="56"/>
        <v/>
      </c>
      <c r="G248" s="61">
        <f t="shared" si="57"/>
        <v>1.5358422529947963E-4</v>
      </c>
      <c r="I248" s="61">
        <f t="shared" si="58"/>
        <v>7.5900381399585188E-5</v>
      </c>
      <c r="J248" s="61">
        <f t="shared" si="48"/>
        <v>0.87120824949942466</v>
      </c>
      <c r="K248" s="61">
        <f t="shared" si="49"/>
        <v>13.830002209940339</v>
      </c>
      <c r="L248" s="225">
        <f t="shared" si="59"/>
        <v>0.1383000220994034</v>
      </c>
      <c r="N248" s="95">
        <f t="shared" si="50"/>
        <v>1.4330100490191713</v>
      </c>
      <c r="O248" s="95">
        <f t="shared" si="51"/>
        <v>2.0267334590698289</v>
      </c>
      <c r="P248" s="95">
        <f t="shared" si="52"/>
        <v>1.7970524142485904</v>
      </c>
      <c r="Q248" s="95">
        <f t="shared" si="53"/>
        <v>2.3219566154484435</v>
      </c>
      <c r="R248" s="96">
        <f t="shared" si="60"/>
        <v>0</v>
      </c>
      <c r="S248" s="96">
        <f t="shared" si="61"/>
        <v>0</v>
      </c>
      <c r="Z248" s="61">
        <f t="shared" si="54"/>
        <v>-1.4330100490191713</v>
      </c>
      <c r="AA248" s="61">
        <f t="shared" si="55"/>
        <v>-2.0267334590698289</v>
      </c>
    </row>
    <row r="249" spans="2:27" ht="17" x14ac:dyDescent="0.2">
      <c r="B249" s="99" t="str">
        <f>'1.RETURNS'!A250</f>
        <v>12-Dec-2023</v>
      </c>
      <c r="C249" s="226">
        <f>'1.RETURNS'!D250</f>
        <v>-3.5534278142564791E-3</v>
      </c>
      <c r="D249" s="125">
        <f t="shared" si="62"/>
        <v>9.5101857666436626E-3</v>
      </c>
      <c r="E249" s="126">
        <f t="shared" si="63"/>
        <v>0.15096951876339168</v>
      </c>
      <c r="F249" s="90" t="str">
        <f t="shared" si="56"/>
        <v/>
      </c>
      <c r="G249" s="61">
        <f t="shared" si="57"/>
        <v>1.2626849231131579E-5</v>
      </c>
      <c r="I249" s="61">
        <f t="shared" si="58"/>
        <v>8.2873746719595368E-5</v>
      </c>
      <c r="J249" s="61">
        <f t="shared" si="48"/>
        <v>0.9103501893205459</v>
      </c>
      <c r="K249" s="61">
        <f t="shared" si="49"/>
        <v>14.451361241536397</v>
      </c>
      <c r="L249" s="225">
        <f t="shared" si="59"/>
        <v>0.14451361241536398</v>
      </c>
      <c r="N249" s="95">
        <f t="shared" si="50"/>
        <v>1.4973928106998586</v>
      </c>
      <c r="O249" s="95">
        <f t="shared" si="51"/>
        <v>2.1177912275585289</v>
      </c>
      <c r="P249" s="95">
        <f t="shared" si="52"/>
        <v>1.8777909948283023</v>
      </c>
      <c r="Q249" s="95">
        <f t="shared" si="53"/>
        <v>2.4262782700716152</v>
      </c>
      <c r="R249" s="96">
        <f t="shared" si="60"/>
        <v>0</v>
      </c>
      <c r="S249" s="96">
        <f t="shared" si="61"/>
        <v>0</v>
      </c>
      <c r="Z249" s="61">
        <f t="shared" si="54"/>
        <v>-1.4973928106998586</v>
      </c>
      <c r="AA249" s="61">
        <f t="shared" si="55"/>
        <v>-2.1177912275585289</v>
      </c>
    </row>
    <row r="250" spans="2:27" ht="17" x14ac:dyDescent="0.2">
      <c r="B250" s="104" t="str">
        <f>'1.RETURNS'!A251</f>
        <v>13-Dec-2023</v>
      </c>
      <c r="C250" s="226">
        <f>'1.RETURNS'!D251</f>
        <v>-4.3904913500291002E-3</v>
      </c>
      <c r="D250" s="127">
        <f t="shared" si="62"/>
        <v>9.5324631955510577E-3</v>
      </c>
      <c r="E250" s="128">
        <f t="shared" si="63"/>
        <v>0.15132316198382501</v>
      </c>
      <c r="F250" s="90" t="str">
        <f t="shared" si="56"/>
        <v/>
      </c>
      <c r="G250" s="61">
        <f t="shared" si="57"/>
        <v>1.9276414294680349E-5</v>
      </c>
      <c r="I250" s="61">
        <f t="shared" si="58"/>
        <v>7.4705369634769228E-5</v>
      </c>
      <c r="J250" s="61">
        <f t="shared" si="48"/>
        <v>0.86432268068568718</v>
      </c>
      <c r="K250" s="61">
        <f t="shared" si="49"/>
        <v>13.720697193642112</v>
      </c>
      <c r="L250" s="225">
        <f t="shared" si="59"/>
        <v>0.13720697193642112</v>
      </c>
      <c r="N250" s="95">
        <f t="shared" si="50"/>
        <v>1.4216842961822711</v>
      </c>
      <c r="O250" s="95">
        <f t="shared" si="51"/>
        <v>2.0107152306984286</v>
      </c>
      <c r="P250" s="95">
        <f t="shared" si="52"/>
        <v>1.7828494632695204</v>
      </c>
      <c r="Q250" s="95">
        <f t="shared" si="53"/>
        <v>2.3036050995309005</v>
      </c>
      <c r="R250" s="96">
        <f t="shared" si="60"/>
        <v>0</v>
      </c>
      <c r="S250" s="96">
        <f t="shared" si="61"/>
        <v>0</v>
      </c>
      <c r="Z250" s="61">
        <f t="shared" si="54"/>
        <v>-1.4216842961822711</v>
      </c>
      <c r="AA250" s="61">
        <f t="shared" si="55"/>
        <v>-2.0107152306984286</v>
      </c>
    </row>
    <row r="251" spans="2:27" ht="17" x14ac:dyDescent="0.2">
      <c r="B251" s="99" t="str">
        <f>'1.RETURNS'!A252</f>
        <v>14-Dec-2023</v>
      </c>
      <c r="C251" s="226">
        <f>'1.RETURNS'!D252</f>
        <v>-6.3081371950149566E-3</v>
      </c>
      <c r="D251" s="125">
        <f t="shared" si="62"/>
        <v>9.3783567079165006E-3</v>
      </c>
      <c r="E251" s="126">
        <f t="shared" si="63"/>
        <v>0.1488767973336089</v>
      </c>
      <c r="F251" s="90" t="str">
        <f t="shared" si="56"/>
        <v/>
      </c>
      <c r="G251" s="61">
        <f t="shared" si="57"/>
        <v>3.9792594871131163E-5</v>
      </c>
      <c r="I251" s="61">
        <f t="shared" si="58"/>
        <v>6.8427205619021878E-5</v>
      </c>
      <c r="J251" s="61">
        <f t="shared" si="48"/>
        <v>0.82720738402786209</v>
      </c>
      <c r="K251" s="61">
        <f t="shared" si="49"/>
        <v>13.131510124884159</v>
      </c>
      <c r="L251" s="225">
        <f t="shared" si="59"/>
        <v>0.13131510124884158</v>
      </c>
      <c r="N251" s="95">
        <f t="shared" si="50"/>
        <v>1.3606350658592676</v>
      </c>
      <c r="O251" s="95">
        <f t="shared" si="51"/>
        <v>1.9243721392241022</v>
      </c>
      <c r="P251" s="95">
        <f t="shared" si="52"/>
        <v>1.7062912654989868</v>
      </c>
      <c r="Q251" s="95">
        <f t="shared" si="53"/>
        <v>2.2046848830861121</v>
      </c>
      <c r="R251" s="96">
        <f t="shared" si="60"/>
        <v>0</v>
      </c>
      <c r="S251" s="96">
        <f t="shared" si="61"/>
        <v>0</v>
      </c>
      <c r="Z251" s="61">
        <f t="shared" si="54"/>
        <v>-1.3606350658592676</v>
      </c>
      <c r="AA251" s="61">
        <f t="shared" si="55"/>
        <v>-1.9243721392241022</v>
      </c>
    </row>
    <row r="252" spans="2:27" ht="17" x14ac:dyDescent="0.2">
      <c r="B252" s="104" t="str">
        <f>'1.RETURNS'!A253</f>
        <v>15-Dec-2023</v>
      </c>
      <c r="C252" s="226">
        <f>'1.RETURNS'!D253</f>
        <v>1.8866950773888582E-2</v>
      </c>
      <c r="D252" s="127">
        <f t="shared" si="62"/>
        <v>1.0211110385218795E-2</v>
      </c>
      <c r="E252" s="128">
        <f t="shared" si="63"/>
        <v>0.1620963521347073</v>
      </c>
      <c r="F252" s="90" t="str">
        <f t="shared" si="56"/>
        <v/>
      </c>
      <c r="G252" s="61">
        <f t="shared" si="57"/>
        <v>3.5596183150433497E-4</v>
      </c>
      <c r="I252" s="61">
        <f t="shared" si="58"/>
        <v>6.5142384263281711E-5</v>
      </c>
      <c r="J252" s="61">
        <f t="shared" si="48"/>
        <v>0.80710832149892808</v>
      </c>
      <c r="K252" s="61">
        <f t="shared" si="49"/>
        <v>12.812447398661581</v>
      </c>
      <c r="L252" s="225">
        <f t="shared" si="59"/>
        <v>0.12812447398661581</v>
      </c>
      <c r="N252" s="95">
        <f t="shared" si="50"/>
        <v>1.3275750499602261</v>
      </c>
      <c r="O252" s="95">
        <f t="shared" si="51"/>
        <v>1.8776147278397028</v>
      </c>
      <c r="P252" s="95">
        <f t="shared" si="52"/>
        <v>1.6648326718016619</v>
      </c>
      <c r="Q252" s="95">
        <f t="shared" si="53"/>
        <v>2.1511165758183775</v>
      </c>
      <c r="R252" s="96">
        <f t="shared" si="60"/>
        <v>0</v>
      </c>
      <c r="S252" s="96">
        <f t="shared" si="61"/>
        <v>0</v>
      </c>
      <c r="Z252" s="61">
        <f t="shared" si="54"/>
        <v>-1.3275750499602261</v>
      </c>
      <c r="AA252" s="61">
        <f t="shared" si="55"/>
        <v>-1.8776147278397028</v>
      </c>
    </row>
    <row r="253" spans="2:27" ht="17" x14ac:dyDescent="0.2">
      <c r="B253" s="99" t="str">
        <f>'1.RETURNS'!A254</f>
        <v>18-Dec-2023</v>
      </c>
      <c r="C253" s="226">
        <f>'1.RETURNS'!D254</f>
        <v>4.9861947356177119E-3</v>
      </c>
      <c r="D253" s="125">
        <f t="shared" si="62"/>
        <v>1.0138671368445887E-2</v>
      </c>
      <c r="E253" s="126">
        <f t="shared" si="63"/>
        <v>0.16094641839311241</v>
      </c>
      <c r="F253" s="90" t="str">
        <f t="shared" si="56"/>
        <v/>
      </c>
      <c r="G253" s="61">
        <f t="shared" si="57"/>
        <v>2.4862137941501785E-5</v>
      </c>
      <c r="I253" s="61">
        <f t="shared" si="58"/>
        <v>9.3967209774222952E-5</v>
      </c>
      <c r="J253" s="61">
        <f t="shared" si="48"/>
        <v>0.9693668540558984</v>
      </c>
      <c r="K253" s="61">
        <f t="shared" si="49"/>
        <v>15.388221750125705</v>
      </c>
      <c r="L253" s="225">
        <f t="shared" si="59"/>
        <v>0.15388221750125705</v>
      </c>
      <c r="N253" s="95">
        <f t="shared" si="50"/>
        <v>1.5944665857403821</v>
      </c>
      <c r="O253" s="95">
        <f t="shared" si="51"/>
        <v>2.2550845200985972</v>
      </c>
      <c r="P253" s="95">
        <f t="shared" si="52"/>
        <v>1.9995254250342858</v>
      </c>
      <c r="Q253" s="95">
        <f t="shared" si="53"/>
        <v>2.5835703241616579</v>
      </c>
      <c r="R253" s="96">
        <f t="shared" si="60"/>
        <v>0</v>
      </c>
      <c r="S253" s="96">
        <f t="shared" si="61"/>
        <v>0</v>
      </c>
      <c r="Z253" s="61">
        <f t="shared" si="54"/>
        <v>-1.5944665857403821</v>
      </c>
      <c r="AA253" s="61">
        <f t="shared" si="55"/>
        <v>-2.2550845200985972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1.RETURNS</vt:lpstr>
      <vt:lpstr>2.STYLIZED FACTS</vt:lpstr>
      <vt:lpstr>3.STATIONARITY</vt:lpstr>
      <vt:lpstr>4.AUTOCORRELATION</vt:lpstr>
      <vt:lpstr>5.ARIMA</vt:lpstr>
      <vt:lpstr>6.GARCH MOTIVATION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Hiteeksha Mathur</cp:lastModifiedBy>
  <cp:revision>2</cp:revision>
  <dcterms:created xsi:type="dcterms:W3CDTF">2026-06-20T01:25:51Z</dcterms:created>
  <dcterms:modified xsi:type="dcterms:W3CDTF">2026-07-01T16:50:09Z</dcterms:modified>
  <dc:language>en-US</dc:language>
</cp:coreProperties>
</file>